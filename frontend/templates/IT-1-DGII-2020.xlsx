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A" sheetId="1" state="visible" r:id="rId3"/>
    <sheet name="IT-1" sheetId="2" state="visible" r:id="rId4"/>
  </sheets>
  <definedNames>
    <definedName function="false" hidden="false" localSheetId="0" name="_xlnm.Print_Area" vbProcedure="false">'Anexo A'!$A$1:$Y$90</definedName>
    <definedName function="false" hidden="false" localSheetId="1" name="_xlnm.Print_Area" vbProcedure="false">'IT-1'!$A$1:$Y$111</definedName>
    <definedName function="false" hidden="false" name="gravados_cl" vbProcedure="false">'Anexo A'!$O$80:$O$81</definedName>
    <definedName function="false" hidden="false" name="_xlfn_IFERROR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<sst xmlns="http://schemas.openxmlformats.org/spreadsheetml/2006/main" count="342" uniqueCount="193">
  <si>
    <t xml:space="preserve">DIRECCIÓN GENERAL DE IMPUESTOS INTERNOS</t>
  </si>
  <si>
    <t xml:space="preserve">DECLARACIÓN JURADA Y/O PAGO DEL IMPUESTO SOBRE LAS TRANSFERENCIAS DE BIENES INDUSTRIALIZADOS Y SERVICIOS (ITBIS)</t>
  </si>
  <si>
    <t xml:space="preserve">I.</t>
  </si>
  <si>
    <t xml:space="preserve">DATOS GENERALES</t>
  </si>
  <si>
    <t xml:space="preserve">RNC/CÉDULA</t>
  </si>
  <si>
    <t xml:space="preserve">RAZÓN SOCIAL/NOMBRE</t>
  </si>
  <si>
    <t xml:space="preserve">NOMBRE COMERCIAL</t>
  </si>
  <si>
    <t xml:space="preserve">CORREO ELECTRÓNICO
</t>
  </si>
  <si>
    <t xml:space="preserve">TELÉFONO</t>
  </si>
  <si>
    <r>
      <rPr>
        <b val="true"/>
        <sz val="8"/>
        <color rgb="FF000000"/>
        <rFont val="Arial"/>
        <family val="2"/>
      </rPr>
      <t xml:space="preserve">PERÍODO </t>
    </r>
    <r>
      <rPr>
        <sz val="8"/>
        <color rgb="FF000000"/>
        <rFont val="Arial"/>
        <family val="2"/>
      </rPr>
      <t xml:space="preserve">(MES/AÑO)</t>
    </r>
  </si>
  <si>
    <t xml:space="preserve">FECHA LÍMITE 
DE PAGO</t>
  </si>
  <si>
    <t xml:space="preserve">TIPO DE DECLARACIÓN</t>
  </si>
  <si>
    <t xml:space="preserve">II.</t>
  </si>
  <si>
    <t xml:space="preserve">OPERACIONES REPORTADAS EN EL 607, LIBRO DE VENTAS Y FACTURA ELECTRONICA (E-NCF) POR TIPO DE NCF</t>
  </si>
  <si>
    <t xml:space="preserve">CANTIDAD</t>
  </si>
  <si>
    <t xml:space="preserve">MONTO</t>
  </si>
  <si>
    <t xml:space="preserve">COMPROBANTES VÁLIDO PARA CRÉDITO FISCAL (01 y 31)</t>
  </si>
  <si>
    <t xml:space="preserve">+</t>
  </si>
  <si>
    <t xml:space="preserve">COMPROBANTES CONSUMO (02 y 32)</t>
  </si>
  <si>
    <t xml:space="preserve">COMPROBANTES NOTA DE DÉBITO (03 y 33)</t>
  </si>
  <si>
    <t xml:space="preserve">COMPROBANTES NOTA DE CRÉDITO (04 y 34)</t>
  </si>
  <si>
    <t xml:space="preserve">-</t>
  </si>
  <si>
    <t xml:space="preserve">COMPROBANTES REGISTRO ÚNICO DE INGRESOS (12)</t>
  </si>
  <si>
    <t xml:space="preserve">COMPROBANTES REGISTRO REGIMENES ESPECIALES (14 y 44)</t>
  </si>
  <si>
    <t xml:space="preserve">COMPROBANTES GUBERNAMENTALES (15 y 45)</t>
  </si>
  <si>
    <t xml:space="preserve">COMPROBANTES PARA EXPORTACIONES (16 y 46) </t>
  </si>
  <si>
    <t xml:space="preserve">OTRAS OPERACIONES (POSITIVAS)</t>
  </si>
  <si>
    <t xml:space="preserve">OTRAS OPERACIONES (NEGATIVAS)</t>
  </si>
  <si>
    <t xml:space="preserve">TOTAL OPERACIONES (Sumar casillas 1+2+3-4+5+6+7+8+9-10)</t>
  </si>
  <si>
    <t xml:space="preserve">=</t>
  </si>
  <si>
    <t xml:space="preserve">III.</t>
  </si>
  <si>
    <t xml:space="preserve">OPERACIONES REPORTADAS EN EL 607/LIBRO DE VENTAS Y FACTURA ELECTRONICA (E-NCF) POR TIPO DE VENTA (MONTO TOTAL INCLUYENDO IMPUESTOS)</t>
  </si>
  <si>
    <t xml:space="preserve">MONTO BRUTO</t>
  </si>
  <si>
    <t xml:space="preserve">EFECTIVO</t>
  </si>
  <si>
    <t xml:space="preserve">CHEQUE / TRANSFERENCIA</t>
  </si>
  <si>
    <t xml:space="preserve">TARJETA DÉBITO / CRÉDITO</t>
  </si>
  <si>
    <t xml:space="preserve">A CRÉDITO</t>
  </si>
  <si>
    <t xml:space="preserve">BONOS O CERTIFICADO DE REGALO</t>
  </si>
  <si>
    <t xml:space="preserve">PERMUTAS</t>
  </si>
  <si>
    <t xml:space="preserve">OTRAS FORMAS DE VENTA</t>
  </si>
  <si>
    <t xml:space="preserve">TOTAL OPERACIONES POR TIPO DE VENTA (Sumar casillas 12+13+14+15+16+17+18)</t>
  </si>
  <si>
    <t xml:space="preserve">IV.</t>
  </si>
  <si>
    <t xml:space="preserve">OPERACIONES REPORTADAS EN EL 607/LIBRO DE VENTAS Y FACTURA ELECTRONICA (E-NCF) POR TIPO DE INGRESO</t>
  </si>
  <si>
    <t xml:space="preserve">INGRESOS POR OPERACIONES (NO FINANCIEROS)</t>
  </si>
  <si>
    <t xml:space="preserve">INGRESOS FINANCIEROS</t>
  </si>
  <si>
    <t xml:space="preserve">INGRESOS EXTRAORDINARIOS</t>
  </si>
  <si>
    <t xml:space="preserve">INGRESOS POR ARRENDAMIENTOS</t>
  </si>
  <si>
    <t xml:space="preserve">INGRESOS POR VENTAS DE ACTIVOS DEPRECIABLES</t>
  </si>
  <si>
    <t xml:space="preserve">OTROS INGRESOS</t>
  </si>
  <si>
    <t xml:space="preserve">TOTAL POR TIPO DE INGRESO (Sumar casillas 20+21+22+23+24+25)</t>
  </si>
  <si>
    <t xml:space="preserve">V.</t>
  </si>
  <si>
    <t xml:space="preserve">PAGOS COMPUTABLES POR RETENCIONES/PERCEPCIÓN</t>
  </si>
  <si>
    <r>
      <rPr>
        <sz val="11"/>
        <color rgb="FF000000"/>
        <rFont val="Times New Roman"/>
        <family val="1"/>
      </rPr>
      <t xml:space="preserve">PAGOS COMPUTABLES POR RETENCIONES (Norma No. 0</t>
    </r>
    <r>
      <rPr>
        <u val="single"/>
        <sz val="11"/>
        <color rgb="FF000000"/>
        <rFont val="Times New Roman"/>
        <family val="1"/>
      </rPr>
      <t xml:space="preserve">8-04</t>
    </r>
    <r>
      <rPr>
        <sz val="11"/>
        <color rgb="FF000000"/>
        <rFont val="Times New Roman"/>
        <family val="1"/>
      </rPr>
      <t xml:space="preserve">)</t>
    </r>
  </si>
  <si>
    <r>
      <rPr>
        <sz val="11"/>
        <color rgb="FF000000"/>
        <rFont val="Times New Roman"/>
        <family val="1"/>
      </rPr>
      <t xml:space="preserve">PAGOS COMPUTABLES POR VENTAS DE PASAJES DE TRANSPORTE AÉREO (Norma No. </t>
    </r>
    <r>
      <rPr>
        <u val="single"/>
        <sz val="11"/>
        <color rgb="FF000000"/>
        <rFont val="Times New Roman"/>
        <family val="1"/>
      </rPr>
      <t xml:space="preserve">02-05</t>
    </r>
    <r>
      <rPr>
        <sz val="11"/>
        <color rgb="FF000000"/>
        <rFont val="Times New Roman"/>
        <family val="1"/>
      </rPr>
      <t xml:space="preserve">) (BSP-IATA)</t>
    </r>
  </si>
  <si>
    <r>
      <rPr>
        <sz val="11"/>
        <color rgb="FF000000"/>
        <rFont val="Times New Roman"/>
        <family val="1"/>
      </rPr>
      <t xml:space="preserve">PAGOS COMPUTABLES POR OTRAS RETENCIONES (Norma No. 0</t>
    </r>
    <r>
      <rPr>
        <u val="single"/>
        <sz val="11"/>
        <color rgb="FF000000"/>
        <rFont val="Times New Roman"/>
        <family val="1"/>
      </rPr>
      <t xml:space="preserve">2-05</t>
    </r>
    <r>
      <rPr>
        <sz val="11"/>
        <color rgb="FF000000"/>
        <rFont val="Times New Roman"/>
        <family val="1"/>
      </rPr>
      <t xml:space="preserve">)</t>
    </r>
  </si>
  <si>
    <t xml:space="preserve">PAGOS COMPUTABLES POR VENTAS DE PAQUETES DE ALOJAMIENTO Y OCUPACIÓN</t>
  </si>
  <si>
    <t xml:space="preserve">CRÉDITO POR RETENCIÓN REALIZADA POR ENTIDADES DEL ESTADO</t>
  </si>
  <si>
    <t xml:space="preserve">PAGOS COMPUTABLES POR ITBIS PERCIBIDO</t>
  </si>
  <si>
    <t xml:space="preserve">TOTAL PAGOS COMPUTABLES POR RETENCIONES/PERCEPCIÓN (Sumar casillas 27+28+29+30+31+32)</t>
  </si>
  <si>
    <t xml:space="preserve">VI.</t>
  </si>
  <si>
    <t xml:space="preserve">OPERACIONES DE CONSTRUCTORAS</t>
  </si>
  <si>
    <t xml:space="preserve">TOTAL FACTURADO</t>
  </si>
  <si>
    <r>
      <rPr>
        <sz val="11"/>
        <color rgb="FF000000"/>
        <rFont val="Times New Roman"/>
        <family val="1"/>
      </rPr>
      <t xml:space="preserve">DIRECCIÓN TÉCNICA (Art. 4 Norma </t>
    </r>
    <r>
      <rPr>
        <u val="single"/>
        <sz val="11"/>
        <color rgb="FF000000"/>
        <rFont val="Times New Roman"/>
        <family val="1"/>
      </rPr>
      <t xml:space="preserve">07-07</t>
    </r>
    <r>
      <rPr>
        <sz val="11"/>
        <color rgb="FF000000"/>
        <rFont val="Times New Roman"/>
        <family val="1"/>
      </rPr>
      <t xml:space="preserve">)</t>
    </r>
  </si>
  <si>
    <r>
      <rPr>
        <sz val="11"/>
        <color rgb="FF000000"/>
        <rFont val="Times New Roman"/>
        <family val="1"/>
      </rPr>
      <t xml:space="preserve">CONTRATO DE ADMINISTRACIÓN (Art. 4 Párrafo I, Norma </t>
    </r>
    <r>
      <rPr>
        <u val="single"/>
        <sz val="11"/>
        <color rgb="FF000000"/>
        <rFont val="Times New Roman"/>
        <family val="1"/>
      </rPr>
      <t xml:space="preserve">07-07</t>
    </r>
    <r>
      <rPr>
        <sz val="11"/>
        <color rgb="FF000000"/>
        <rFont val="Times New Roman"/>
        <family val="1"/>
      </rPr>
      <t xml:space="preserve">)</t>
    </r>
  </si>
  <si>
    <t xml:space="preserve">ASESORIAS / HONORARIOS</t>
  </si>
  <si>
    <t xml:space="preserve">TOTAL OPERACIONES CONSTRUCTORAS (Total Facturado: Sumar casillas 34+35, Monto: Sumar casillas 34+35+36)</t>
  </si>
  <si>
    <t xml:space="preserve">OPERACIONES NO SUJETAS A ITBIS POR SERVICIOS DE CONSTRUCCIÓN (Restar Casilla 37 Total Facturado - Monto Sujeto a ITBIS)</t>
  </si>
  <si>
    <t xml:space="preserve">VII.</t>
  </si>
  <si>
    <t xml:space="preserve">OPERACIONES DE COMISIONISTAS</t>
  </si>
  <si>
    <t xml:space="preserve">VENTAS DE BIENES POR COMISIÓN</t>
  </si>
  <si>
    <t xml:space="preserve">VENTAS DE SERVICIOS EN NOMBRE DE TERCEROS</t>
  </si>
  <si>
    <t xml:space="preserve">TOTAL OPERACIONES COMISIONISTAS (Sumar casillas 39+40)</t>
  </si>
  <si>
    <t xml:space="preserve">OPERACIONES NO SUJETAS A ITBIS POR COMISIONES (Restar Casilla 41 Total Facturado - Monto Sujeto a ITBIS)</t>
  </si>
  <si>
    <t xml:space="preserve">VIII.</t>
  </si>
  <si>
    <t xml:space="preserve">DATOS INFORMATIVOS</t>
  </si>
  <si>
    <t xml:space="preserve">TOTAL NOTAS DE CRÉDITO EMITIDAS CON MÁS DE TREINTA (30) DÍAS DESDE LA FACTURACIÓN (Art. 338 CT)</t>
  </si>
  <si>
    <t xml:space="preserve">TOTAL FACTURAS EN COMPROBANTES FISCALES PARA REGIMENES ESPECIALES (Proviene del Formato 606)</t>
  </si>
  <si>
    <t xml:space="preserve">IX.</t>
  </si>
  <si>
    <t xml:space="preserve">ITBIS PAGADO</t>
  </si>
  <si>
    <t xml:space="preserve">COMPRAS LOCALES *</t>
  </si>
  <si>
    <t xml:space="preserve">SERVICIOS *</t>
  </si>
  <si>
    <t xml:space="preserve">IMPORTACIONES</t>
  </si>
  <si>
    <t xml:space="preserve">TOTAL</t>
  </si>
  <si>
    <t xml:space="preserve">A)</t>
  </si>
  <si>
    <t xml:space="preserve">NO DEDUCIBLE (Llevado al Costo/Gasto)</t>
  </si>
  <si>
    <t xml:space="preserve">EN OPERACIONES DE PRODUCTORES DE BIENES O SERVICIOS EXENTOS</t>
  </si>
  <si>
    <t xml:space="preserve">A INCLUIR EN ACTIVOS (CATEGORÍA I)</t>
  </si>
  <si>
    <t xml:space="preserve">OTROS ITBIS PAGADOS NO DEDUCIBLES</t>
  </si>
  <si>
    <t xml:space="preserve">TOTAL ITBIS NO DEDUCIBLE (45+46+47)</t>
  </si>
  <si>
    <t xml:space="preserve">B)</t>
  </si>
  <si>
    <t xml:space="preserve">DEDUCIBLE </t>
  </si>
  <si>
    <t xml:space="preserve">EN LA PRODUCCIÓN Y/O VENTA DE BIENES EXPORTADOS</t>
  </si>
  <si>
    <t xml:space="preserve">EN LA PRODUCCIÓN Y/O VENTA DE BIENES GRAVADOS</t>
  </si>
  <si>
    <t xml:space="preserve">EN LA PRESTACIÓN DE SERVICIOS GRAVADOS</t>
  </si>
  <si>
    <t xml:space="preserve">TOTAL ITBIS DEDUCIBLE NO SUJETO A PROPORCIONALIDAD (49+50+51)</t>
  </si>
  <si>
    <t xml:space="preserve">C)</t>
  </si>
  <si>
    <t xml:space="preserve">ITBIS SUJETO A PROPORCIONALIDAD (Art. 349 de Código Tributario)</t>
  </si>
  <si>
    <t xml:space="preserve">ITBIS SUJETO A PROPORCIONALIDAD</t>
  </si>
  <si>
    <t xml:space="preserve">COEFICIENTE DE PROPORCIONALIDAD ((((Casillas 2 + 5 + 10 del IT1)  / Casilla 1 del IT1)) * 100) Si aplica.</t>
  </si>
  <si>
    <t xml:space="preserve">ITBIS ADMITIDO POR APLICACIÓN DE PROPORCIONALIDAD (Casillas 53 * 54)</t>
  </si>
  <si>
    <t xml:space="preserve">TOTAL ITBIS DEDUCIBLE (52+55)</t>
  </si>
  <si>
    <t xml:space="preserve">Nota: * Proviene del Formato de Envío de Datos 606.</t>
  </si>
  <si>
    <t xml:space="preserve">INGRESOS POR OPERACIONES</t>
  </si>
  <si>
    <t xml:space="preserve">TOTAL DE OPERACIONES DEL PERIODO (Proviene de la casilla 11 del Anexo A)</t>
  </si>
  <si>
    <t xml:space="preserve">II.A</t>
  </si>
  <si>
    <t xml:space="preserve"> NO GRAVADAS</t>
  </si>
  <si>
    <t xml:space="preserve">INGRESOS POR EXPORTACIONES DE BIENES SEGÚN Art. 342 CT</t>
  </si>
  <si>
    <t xml:space="preserve">INGRESOS POR EXPORTACIONES DE SERVICIOS SEGÚN Art. 344 CT y Art. 14 Literal j), Reglamento 293-11</t>
  </si>
  <si>
    <t xml:space="preserve">INGRESOS POR VENTAS LOCALES DE BIENES O SERVICIOS EXENTOS Art. 343 y Art. 344 CT</t>
  </si>
  <si>
    <t xml:space="preserve">INGRESOS POR VENTAS DE BIENES O SERVICIOS EXENTOS POR DESTINO</t>
  </si>
  <si>
    <t xml:space="preserve">NO SUJETAS A ITBIS POR SERVICIOS DE CONSTRUCCIÓN (Proviene de la casilla 38 del Anexo A)</t>
  </si>
  <si>
    <t xml:space="preserve">NO SUJETAS A ITBIS POR COMISIONES (Proviene de la casilla 42 del Anexo A)</t>
  </si>
  <si>
    <t xml:space="preserve">INGRESOS POR VENTAS LOCALES DE BIENES EXENTOS SEGÚN Párrafos III y IV, Art. 343 CT</t>
  </si>
  <si>
    <r>
      <rPr>
        <b val="true"/>
        <sz val="12"/>
        <color rgb="FF000000"/>
        <rFont val="Times New Roman"/>
        <family val="1"/>
      </rPr>
      <t xml:space="preserve">TOTAL INGRESOS POR OPERACIONES NO GRAVADAS </t>
    </r>
    <r>
      <rPr>
        <sz val="12"/>
        <color rgb="FF000000"/>
        <rFont val="Times New Roman"/>
        <family val="1"/>
      </rPr>
      <t xml:space="preserve">(Sumar casillas 2+3+4+5+6+7+8)</t>
    </r>
  </si>
  <si>
    <t xml:space="preserve">II.B</t>
  </si>
  <si>
    <t xml:space="preserve">GRAVADAS</t>
  </si>
  <si>
    <r>
      <rPr>
        <b val="true"/>
        <sz val="12"/>
        <color rgb="FF000000"/>
        <rFont val="Times New Roman"/>
        <family val="1"/>
      </rPr>
      <t xml:space="preserve">TOTAL INGRESOS POR OPERACIONES GRAVADAS </t>
    </r>
    <r>
      <rPr>
        <sz val="12"/>
        <color rgb="FF000000"/>
        <rFont val="Times New Roman"/>
        <family val="1"/>
      </rPr>
      <t xml:space="preserve">(Restar casillas 1-9) </t>
    </r>
  </si>
  <si>
    <t xml:space="preserve">OPERACIONES GRAVADAS AL 18% </t>
  </si>
  <si>
    <t xml:space="preserve">OPERACIONES GRAVADAS AL 16%</t>
  </si>
  <si>
    <r>
      <rPr>
        <sz val="12"/>
        <color rgb="FF000000"/>
        <rFont val="Times New Roman"/>
        <family val="1"/>
      </rPr>
      <t xml:space="preserve">OPERACIONES GRAVADAS AL 9%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</si>
  <si>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OPERACIONES GRAVADAS AL 8%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</si>
  <si>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t xml:space="preserve">OPERACIONES GRAVADAS POR VENTAS DE ACTIVOS DEPRECIABLES (Categoría 2 y 3)</t>
  </si>
  <si>
    <t xml:space="preserve">LIQUIDACIÓN</t>
  </si>
  <si>
    <t xml:space="preserve">ITBIS COBRADO (18% de la casilla 11)</t>
  </si>
  <si>
    <t xml:space="preserve">ITBIS COBRADO (16% de la casilla 12)</t>
  </si>
  <si>
    <r>
      <rPr>
        <sz val="12"/>
        <color rgb="FF000000"/>
        <rFont val="Times New Roman"/>
        <family val="1"/>
      </rPr>
      <t xml:space="preserve">ITBIS COBRADO (9% de la casilla 13)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</si>
  <si>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ITBIS COBRADO (8% de la casilla 14)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</si>
  <si>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t xml:space="preserve">ITBIS COBRADO POR VENTAS DE ACTIVOS DEPRECIABLES (Categoría 2 y 3) (18% de la casilla 15)</t>
  </si>
  <si>
    <r>
      <rPr>
        <b val="true"/>
        <sz val="12"/>
        <color rgb="FF000000"/>
        <rFont val="Times New Roman"/>
        <family val="1"/>
      </rPr>
      <t xml:space="preserve">TOTAL ITBIS COBRADO </t>
    </r>
    <r>
      <rPr>
        <sz val="12"/>
        <color rgb="FF000000"/>
        <rFont val="Times New Roman"/>
        <family val="1"/>
      </rPr>
      <t xml:space="preserve">(Sumar casillas 16+17+18+19+20)</t>
    </r>
  </si>
  <si>
    <t xml:space="preserve">ITBIS PAGADO EN COMPRAS LOCALES (Proviene de la casilla 56 del Anexo A)</t>
  </si>
  <si>
    <t xml:space="preserve">ITBIS PAGADO POR SERVICIOS DEDUCIBLES (Proviene de la casilla 56 del Anexo A)</t>
  </si>
  <si>
    <t xml:space="preserve">ITBIS PAGADO EN IMPORTACIONES (Proviene de la casilla 56 del Anexo A)</t>
  </si>
  <si>
    <r>
      <rPr>
        <b val="true"/>
        <sz val="12"/>
        <color rgb="FF000000"/>
        <rFont val="Times New Roman"/>
        <family val="1"/>
      </rPr>
      <t xml:space="preserve">TOTAL ITBIS DEDUCIBLE </t>
    </r>
    <r>
      <rPr>
        <sz val="12"/>
        <color rgb="FF000000"/>
        <rFont val="Times New Roman"/>
        <family val="1"/>
      </rPr>
      <t xml:space="preserve">(Sumar casillas 22+23+24)</t>
    </r>
  </si>
  <si>
    <r>
      <rPr>
        <b val="true"/>
        <sz val="12"/>
        <color rgb="FF000000"/>
        <rFont val="Times New Roman"/>
        <family val="1"/>
      </rPr>
      <t xml:space="preserve">IMPUESTO A PAGAR </t>
    </r>
    <r>
      <rPr>
        <sz val="12"/>
        <color rgb="FF000000"/>
        <rFont val="Times New Roman"/>
        <family val="1"/>
      </rPr>
      <t xml:space="preserve">(Si el valor de las casillas 21-25 es Positivo)</t>
    </r>
  </si>
  <si>
    <r>
      <rPr>
        <b val="true"/>
        <sz val="12"/>
        <color rgb="FF000000"/>
        <rFont val="Times New Roman"/>
        <family val="1"/>
      </rPr>
      <t xml:space="preserve">SALDO A FAVOR </t>
    </r>
    <r>
      <rPr>
        <sz val="12"/>
        <color rgb="FF000000"/>
        <rFont val="Times New Roman"/>
        <family val="1"/>
      </rPr>
      <t xml:space="preserve">(Si el valor de las casillas 21-25 es Negativo)</t>
    </r>
  </si>
  <si>
    <t xml:space="preserve">SALDOS COMPENSABLES AUTORIZADOS (Otros Impuestos) Y/O REEMBOLSOS</t>
  </si>
  <si>
    <t xml:space="preserve">± </t>
  </si>
  <si>
    <t xml:space="preserve">SALDO A FAVOR ANTERIOR</t>
  </si>
  <si>
    <t xml:space="preserve">TOTAL PAGOS COMPUTABLES POR RETENCIONES (Proviene de la casilla 33 del Anexo A)</t>
  </si>
  <si>
    <t xml:space="preserve">OTROS PAGOS COMPUTABLES A CUENTA</t>
  </si>
  <si>
    <t xml:space="preserve">COMPENSACIONES Y/O REEMBOLSOS AUTORIZADOS</t>
  </si>
  <si>
    <r>
      <rPr>
        <b val="true"/>
        <sz val="12"/>
        <color rgb="FF000000"/>
        <rFont val="Times New Roman"/>
        <family val="1"/>
      </rPr>
      <t xml:space="preserve">DIFERENCIA A PAGAR </t>
    </r>
    <r>
      <rPr>
        <sz val="12"/>
        <color rgb="FF000000"/>
        <rFont val="Times New Roman"/>
        <family val="1"/>
      </rPr>
      <t xml:space="preserve">(Si el valor de las casillas 26-28-29-30-31-32 es Positivo)</t>
    </r>
  </si>
  <si>
    <t xml:space="preserve">NUEVO SALDO A FAVOR (Si el valor de las casillas (26-28-29-30-31-32 es Negativo) ó (27+28+29+30+31+32))</t>
  </si>
  <si>
    <t xml:space="preserve">PENALIDADES</t>
  </si>
  <si>
    <t xml:space="preserve">%</t>
  </si>
  <si>
    <t xml:space="preserve">RECARGOS </t>
  </si>
  <si>
    <t xml:space="preserve">INTERÉS INDEMNIZATORIO</t>
  </si>
  <si>
    <t xml:space="preserve">SANCIONES</t>
  </si>
  <si>
    <t xml:space="preserve">MONTO A PAGAR </t>
  </si>
  <si>
    <r>
      <rPr>
        <b val="true"/>
        <sz val="12"/>
        <color rgb="FF000000"/>
        <rFont val="Times New Roman"/>
        <family val="1"/>
      </rPr>
      <t xml:space="preserve">TOTAL A PAGAR </t>
    </r>
    <r>
      <rPr>
        <sz val="12"/>
        <color rgb="FF000000"/>
        <rFont val="Times New Roman"/>
        <family val="1"/>
      </rPr>
      <t xml:space="preserve">(Sumar casillas 33+35+36+37)</t>
    </r>
  </si>
  <si>
    <t xml:space="preserve">A.</t>
  </si>
  <si>
    <t xml:space="preserve">ITBIS RETENIDO / ITBIS PERCIBIDO</t>
  </si>
  <si>
    <t xml:space="preserve">SERVICIOS SUJETOS A RETENCIÓN PERSONAS FÍSICAS </t>
  </si>
  <si>
    <t xml:space="preserve">SERVICIOS SUJETOS A RETENCIÓN ENTIDADES NO LUCRATIVAS (Norma No. 01-11)</t>
  </si>
  <si>
    <t xml:space="preserve">TOTAL SERVICIOS SUJETOS A RETENCIÓN A PERSONAS FÍSICAS Y ENTIDADES NO LUCRATIVAS</t>
  </si>
  <si>
    <t xml:space="preserve">SERVICIOS SUJETOS A RETENCIÓN SOCIEDADES (Norma No. 07-09)</t>
  </si>
  <si>
    <r>
      <rPr>
        <sz val="12"/>
        <color rgb="FF000000"/>
        <rFont val="Times New Roman"/>
        <family val="1"/>
      </rPr>
      <t xml:space="preserve">SERVICIOS SUJETOS A RETENCIÓN SOCIEDADES </t>
    </r>
    <r>
      <rPr>
        <sz val="12"/>
        <rFont val="Times New Roman"/>
        <family val="1"/>
      </rPr>
      <t xml:space="preserve">(Norma No. 0</t>
    </r>
    <r>
      <rPr>
        <u val="single"/>
        <sz val="12"/>
        <rFont val="Times New Roman"/>
        <family val="1"/>
      </rPr>
      <t xml:space="preserve">2-05</t>
    </r>
    <r>
      <rPr>
        <sz val="12"/>
        <rFont val="Times New Roman"/>
        <family val="1"/>
      </rPr>
      <t xml:space="preserve"> y 0</t>
    </r>
    <r>
      <rPr>
        <u val="single"/>
        <sz val="12"/>
        <rFont val="Times New Roman"/>
        <family val="1"/>
      </rPr>
      <t xml:space="preserve">7-07</t>
    </r>
    <r>
      <rPr>
        <sz val="12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</si>
  <si>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BIENES O SERVICIOS SUJETOS A RETENCIÓN A CONTRIBUYENTES ACOGIDOS AL RST </t>
    </r>
    <r>
      <rPr>
        <sz val="12"/>
        <rFont val="Times New Roman"/>
        <family val="1"/>
      </rPr>
      <t xml:space="preserve">(Operaciones Gravadas al 18%)</t>
    </r>
  </si>
  <si>
    <r>
      <rPr>
        <sz val="12"/>
        <color rgb="FF000000"/>
        <rFont val="Times New Roman"/>
        <family val="1"/>
      </rPr>
      <t xml:space="preserve">BIENES O SERVICIOS SUJETOS A RETENCIÓN A CONTRIBUYENTES ACOGIDOS AL RST</t>
    </r>
    <r>
      <rPr>
        <sz val="12"/>
        <rFont val="Times New Roman"/>
        <family val="1"/>
      </rPr>
      <t xml:space="preserve"> (Operaciones Gravadas al 16%)</t>
    </r>
  </si>
  <si>
    <t xml:space="preserve">TOTAL BIENES O SERVICIOS SUJETOS A RETENCIÓN A CONTRIBUYENTES ACOGIDOS AL RST (Sumar casillas 44+45)</t>
  </si>
  <si>
    <t xml:space="preserve">BIENES SUJETOS A RETENCIÓN DE COMPROBANTE DE COMPRAS (Operaciones Gravadas al 18%) (Norma No. 08-10 y 05-19)</t>
  </si>
  <si>
    <t xml:space="preserve">BIENES SUJETOS A RETENCIÓN DE COMPROBANTE DE COMPRAS (Operaciones Gravadas al 16%) (Norma No. 08-10 y 05-19)</t>
  </si>
  <si>
    <t xml:space="preserve">TOTAL BIENES SUJETOS A RETENCIÓN COMPROBANTES DE COMPRAS (Sumar casillas 47+48)</t>
  </si>
  <si>
    <t xml:space="preserve">ITBIS POR SERVICIOS SUJETOS A RETENCIÓN PERSONAS FÍSICAS Y ENTIDADES NO LUCRATIVAS (18% de la casilla 41)</t>
  </si>
  <si>
    <t xml:space="preserve">ITBIS POR SERVICIOS SUJETOS A RETENCIÓN SOCIEDADES (18% de la casilla 42) (Norma No. 07-09)</t>
  </si>
  <si>
    <r>
      <rPr>
        <sz val="12"/>
        <color rgb="FF000000"/>
        <rFont val="Times New Roman"/>
        <family val="1"/>
      </rPr>
      <t xml:space="preserve">ITBIS POR SERVICIOS SUJETOS A RETENCIÓN SOCIEDADES (18% de la casilla 43 por 0.30) (Norma No. 0</t>
    </r>
    <r>
      <rPr>
        <u val="single"/>
        <sz val="12"/>
        <color rgb="FF000000"/>
        <rFont val="Times New Roman"/>
        <family val="1"/>
      </rPr>
      <t xml:space="preserve">2-05</t>
    </r>
    <r>
      <rPr>
        <sz val="12"/>
        <color rgb="FF000000"/>
        <rFont val="Times New Roman"/>
        <family val="1"/>
      </rPr>
      <t xml:space="preserve"> y 0</t>
    </r>
    <r>
      <rPr>
        <u val="single"/>
        <sz val="12"/>
        <color rgb="FF000000"/>
        <rFont val="Times New Roman"/>
        <family val="1"/>
      </rPr>
      <t xml:space="preserve">7-07</t>
    </r>
    <r>
      <rPr>
        <sz val="12"/>
        <color rgb="FF000000"/>
        <rFont val="Times New Roman"/>
        <family val="1"/>
      </rPr>
      <t xml:space="preserve">)</t>
    </r>
  </si>
  <si>
    <t xml:space="preserve">ITBIS RETENIDO A CONTRIBUYENTES ACOGIDOS AL RST (18% de la casilla 44)</t>
  </si>
  <si>
    <t xml:space="preserve">ITBIS RETENIDO A CONTRIBUYENTES ACOGIDOS AL RST (16% de la casilla 45)</t>
  </si>
  <si>
    <t xml:space="preserve">TOTAL ITBIS RETENIDO A CONTRIBUYENTES ACOGIDOS AL RST (Sumar casillas 53+54)</t>
  </si>
  <si>
    <t xml:space="preserve">ITBIS POR BIENES SUJETOS A RETENCIÓN DE COMPROBANTE DE COMPRAS (18% de la casilla 47) (Norma No. 08-10 y 05-19)</t>
  </si>
  <si>
    <t xml:space="preserve">ITBIS POR BIENES SUJETOS A RETENCIÓN DE COMPROBANTE DE COMPRAS (16% de la casilla 48) (Norma No. 08-10 y 05-19)</t>
  </si>
  <si>
    <t xml:space="preserve">TOTAL POR BIENES SUJETOS A RETENCIÓN COMPROBANTE DE COMPRAS (Sumar casillas 56+57)</t>
  </si>
  <si>
    <t xml:space="preserve">TOTAL ITBIS PERCIBIDO EN VENTA</t>
  </si>
  <si>
    <r>
      <rPr>
        <b val="true"/>
        <sz val="12"/>
        <rFont val="Times New Roman"/>
        <family val="1"/>
      </rPr>
      <t xml:space="preserve">IMPUESTO A PAGAR </t>
    </r>
    <r>
      <rPr>
        <sz val="12"/>
        <rFont val="Times New Roman"/>
        <family val="1"/>
      </rPr>
      <t xml:space="preserve">(Sumar casillas 50+51+52+55+58+59)</t>
    </r>
  </si>
  <si>
    <t xml:space="preserve">PAGOS COMPUTABLES A CUENTA</t>
  </si>
  <si>
    <r>
      <rPr>
        <b val="true"/>
        <sz val="12"/>
        <color rgb="FF000000"/>
        <rFont val="Times New Roman"/>
        <family val="1"/>
      </rPr>
      <t xml:space="preserve">DIFERENCIA A PAGAR </t>
    </r>
    <r>
      <rPr>
        <sz val="12"/>
        <color rgb="FF000000"/>
        <rFont val="Times New Roman"/>
        <family val="1"/>
      </rPr>
      <t xml:space="preserve">(Si el valor de las casillas 60-61 es Positivo)</t>
    </r>
  </si>
  <si>
    <r>
      <rPr>
        <b val="true"/>
        <sz val="12"/>
        <color rgb="FF000000"/>
        <rFont val="Times New Roman"/>
        <family val="1"/>
      </rPr>
      <t xml:space="preserve">NUEVO SALDO A FAVOR </t>
    </r>
    <r>
      <rPr>
        <sz val="12"/>
        <color rgb="FF000000"/>
        <rFont val="Times New Roman"/>
        <family val="1"/>
      </rPr>
      <t xml:space="preserve">(Si el valor de las casillas 60-61 es Negativo)</t>
    </r>
  </si>
  <si>
    <t xml:space="preserve">B.</t>
  </si>
  <si>
    <t xml:space="preserve">C.</t>
  </si>
  <si>
    <r>
      <rPr>
        <b val="true"/>
        <sz val="12"/>
        <color rgb="FF000000"/>
        <rFont val="Times New Roman"/>
        <family val="1"/>
      </rPr>
      <t xml:space="preserve">TOTAL A PAGAR </t>
    </r>
    <r>
      <rPr>
        <sz val="12"/>
        <color rgb="FF000000"/>
        <rFont val="Times New Roman"/>
        <family val="1"/>
      </rPr>
      <t xml:space="preserve">(Sumar casillas 62+64+65+66)</t>
    </r>
  </si>
  <si>
    <r>
      <rPr>
        <b val="true"/>
        <sz val="12"/>
        <color rgb="FF000000"/>
        <rFont val="Times New Roman"/>
        <family val="1"/>
      </rPr>
      <t xml:space="preserve">TOTAL GENERAL </t>
    </r>
    <r>
      <rPr>
        <sz val="12"/>
        <color rgb="FF000000"/>
        <rFont val="Times New Roman"/>
        <family val="1"/>
      </rPr>
      <t xml:space="preserve">(Sumar casillas 38+67)</t>
    </r>
  </si>
  <si>
    <t xml:space="preserve">JURAMENTO</t>
  </si>
  <si>
    <t xml:space="preserve">Yo,</t>
  </si>
  <si>
    <t xml:space="preserve">en mi calidad de</t>
  </si>
  <si>
    <t xml:space="preserve">por la presente afirmo bajo juramento que los datos consignados en la presente declaración son correctos y completos </t>
  </si>
  <si>
    <t xml:space="preserve">y que no he omitido ni falseado dato alguno que la misma deba contener, siendo en consecuencia todo su contenido la fiel expresión de la verdad.</t>
  </si>
  <si>
    <t xml:space="preserve">Fecha</t>
  </si>
  <si>
    <t xml:space="preserve">Firma</t>
  </si>
  <si>
    <t xml:space="preserve">PARA USO DE LA DGII</t>
  </si>
  <si>
    <t xml:space="preserve">Fecha de Pago</t>
  </si>
  <si>
    <t xml:space="preserve">No. Recibo de Pago</t>
  </si>
  <si>
    <t xml:space="preserve">Fecha Límite de Pago</t>
  </si>
  <si>
    <t xml:space="preserve">Firma del Cajero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</si>
</sst>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&quot;RD$&quot;* #,##0.00_);_(&quot;RD$&quot;* \(#,##0.00\);_(&quot;RD$&quot;* \-??_);_(@_)"/>
    <numFmt numFmtId="167" formatCode="@"/>
    <numFmt numFmtId="168" formatCode="###\-###\-####"/>
    <numFmt numFmtId="169" formatCode="mm\-yyyy"/>
    <numFmt numFmtId="170" formatCode="dd/mm/yyyy"/>
    <numFmt numFmtId="171" formatCode="0"/>
    <numFmt numFmtId="172" formatCode="0\ %"/>
    <numFmt numFmtId="173" formatCode="0.00\ %"/>
  </numFmts>
  <fonts count="34">
    <font>
      <sz val="8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8"/>
      <name val="Arial"/>
      <family val="2"/>
    </font>
    <font>
      <sz val="10"/>
      <name val="Courier New"/>
      <family val="3"/>
    </font>
    <font>
      <b val="true"/>
      <sz val="12"/>
      <name val="Arial"/>
      <family val="2"/>
    </font>
    <font>
      <b val="true"/>
      <sz val="11"/>
      <color rgb="FF000000"/>
      <name val="Times New Roman"/>
      <family val="1"/>
    </font>
    <font>
      <b val="true"/>
      <sz val="10"/>
      <name val="Arial"/>
      <family val="2"/>
    </font>
    <font>
      <sz val="11"/>
      <color rgb="FF000000"/>
      <name val="Times New Roman"/>
      <family val="1"/>
    </font>
    <font>
      <b val="true"/>
      <sz val="8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 val="true"/>
      <sz val="8"/>
      <color rgb="FF000000"/>
      <name val="Arial"/>
      <family val="2"/>
    </font>
    <font>
      <sz val="8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1"/>
      <name val="Times New Roman"/>
      <family val="1"/>
    </font>
    <font>
      <sz val="11"/>
      <name val="Arial"/>
      <family val="2"/>
    </font>
    <font>
      <u val="single"/>
      <sz val="11"/>
      <color rgb="FF000000"/>
      <name val="Times New Roman"/>
      <family val="1"/>
    </font>
    <font>
      <b val="true"/>
      <sz val="12"/>
      <color rgb="FF000000"/>
      <name val="Times New Roman"/>
      <family val="1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b val="true"/>
      <sz val="10.5"/>
      <color rgb="FF000000"/>
      <name val="Times New Roman"/>
      <family val="1"/>
    </font>
    <font>
      <b val="true"/>
      <sz val="12"/>
      <color rgb="FF000000"/>
      <name val="Calibri"/>
      <family val="0"/>
    </font>
    <font>
      <b val="true"/>
      <sz val="12"/>
      <name val="Times New Roman"/>
      <family val="1"/>
    </font>
    <font>
      <sz val="12"/>
      <name val="Times New Roman"/>
      <family val="1"/>
    </font>
    <font>
      <u val="single"/>
      <sz val="12"/>
      <color rgb="FF000000"/>
      <name val="Times New Roman"/>
      <family val="1"/>
    </font>
    <font>
      <b val="true"/>
      <sz val="8"/>
      <color rgb="FFFF0000"/>
      <name val="Arial"/>
      <family val="2"/>
    </font>
    <font>
      <sz val="12"/>
      <color rgb="FF000000"/>
      <name val="Arial"/>
      <family val="2"/>
    </font>
    <font>
      <u val="single"/>
      <sz val="12"/>
      <name val="Times New Roman"/>
      <family val="1"/>
    </font>
    <font>
      <sz val="8"/>
      <color rgb="FFFF0000"/>
      <name val="Arial"/>
      <family val="2"/>
    </font>
    <font>
      <sz val="10"/>
      <name val="Times New Roman"/>
      <family val="1"/>
    </font>
    <font>
      <b val="true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 style="hair"/>
      <top style="hair"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 style="medium"/>
      <top style="hair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2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2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9" fontId="12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6" fillId="2" borderId="1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0" fontId="16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2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0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8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2" borderId="27" xfId="1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8" fillId="2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2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8" fillId="2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2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2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2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2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3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2" borderId="9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7" fontId="22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0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0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5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1" fillId="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3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3" borderId="39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4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4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7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4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4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urrency 2" xfId="22"/>
    <cellStyle name="Normal 2" xfId="23"/>
    <cellStyle name="Normal 3" xfId="24"/>
    <cellStyle name="Normal_IR-2 BACKUP" xfId="25"/>
  </cellStyles>
  <dxfs count="1">
    <dxf>
      <font>
        <name val="Arial"/>
        <family val="0"/>
        <color rgb="FFFF0000"/>
        <sz val="8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46800</xdr:colOff>
      <xdr:row>2</xdr:row>
      <xdr:rowOff>0</xdr:rowOff>
    </xdr:from>
    <xdr:to>
      <xdr:col>22</xdr:col>
      <xdr:colOff>820080</xdr:colOff>
      <xdr:row>2</xdr:row>
      <xdr:rowOff>9360</xdr:rowOff>
    </xdr:to>
    <xdr:sp>
      <xdr:nvSpPr>
        <xdr:cNvPr id="1" name="Line 5"/>
        <xdr:cNvSpPr/>
      </xdr:nvSpPr>
      <xdr:spPr>
        <a:xfrm>
          <a:off x="1090080" y="257040"/>
          <a:ext cx="11906280" cy="9360"/>
        </a:xfrm>
        <a:prstGeom prst="line">
          <a:avLst/>
        </a:prstGeom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885240</xdr:colOff>
      <xdr:row>1</xdr:row>
      <xdr:rowOff>56880</xdr:rowOff>
    </xdr:from>
    <xdr:to>
      <xdr:col>24</xdr:col>
      <xdr:colOff>65880</xdr:colOff>
      <xdr:row>4</xdr:row>
      <xdr:rowOff>19080</xdr:rowOff>
    </xdr:to>
    <xdr:sp>
      <xdr:nvSpPr>
        <xdr:cNvPr id="2" name="TextBox 3"/>
        <xdr:cNvSpPr/>
      </xdr:nvSpPr>
      <xdr:spPr>
        <a:xfrm>
          <a:off x="13061520" y="114120"/>
          <a:ext cx="1176120" cy="75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ctr">
          <a:noAutofit/>
        </a:bodyPr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IT-1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Anexo A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Versión 2020</a:t>
          </a:r>
          <a:endParaRPr lang="es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178920</xdr:colOff>
      <xdr:row>0</xdr:row>
      <xdr:rowOff>0</xdr:rowOff>
    </xdr:from>
    <xdr:to>
      <xdr:col>3</xdr:col>
      <xdr:colOff>244800</xdr:colOff>
      <xdr:row>3</xdr:row>
      <xdr:rowOff>323280</xdr:rowOff>
    </xdr:to>
    <xdr:pic>
      <xdr:nvPicPr>
        <xdr:cNvPr id="3" name="Picture 4"/>
        <xdr:cNvPicPr/>
      </xdr:nvPicPr>
      <xdr:blipFill>
        <a:blip r:embed="rId1"/>
        <a:stretch/>
      </xdr:blipFill>
      <xdr:spPr>
        <a:xfrm>
          <a:off x="291240" y="0"/>
          <a:ext cx="695880" cy="761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46800</xdr:colOff>
      <xdr:row>2</xdr:row>
      <xdr:rowOff>0</xdr:rowOff>
    </xdr:from>
    <xdr:to>
      <xdr:col>21</xdr:col>
      <xdr:colOff>820800</xdr:colOff>
      <xdr:row>2</xdr:row>
      <xdr:rowOff>9360</xdr:rowOff>
    </xdr:to>
    <xdr:sp>
      <xdr:nvSpPr>
        <xdr:cNvPr id="4" name="Line 5"/>
        <xdr:cNvSpPr/>
      </xdr:nvSpPr>
      <xdr:spPr>
        <a:xfrm>
          <a:off x="1099800" y="257040"/>
          <a:ext cx="10890000" cy="9360"/>
        </a:xfrm>
        <a:prstGeom prst="line">
          <a:avLst/>
        </a:prstGeom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856800</xdr:colOff>
      <xdr:row>1</xdr:row>
      <xdr:rowOff>56880</xdr:rowOff>
    </xdr:from>
    <xdr:to>
      <xdr:col>24</xdr:col>
      <xdr:colOff>74880</xdr:colOff>
      <xdr:row>3</xdr:row>
      <xdr:rowOff>276840</xdr:rowOff>
    </xdr:to>
    <xdr:sp>
      <xdr:nvSpPr>
        <xdr:cNvPr id="5" name="TextBox 27"/>
        <xdr:cNvSpPr/>
      </xdr:nvSpPr>
      <xdr:spPr>
        <a:xfrm>
          <a:off x="12025800" y="114120"/>
          <a:ext cx="1834920" cy="60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ctr">
          <a:noAutofit/>
        </a:bodyPr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IT-1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Versión 2020</a:t>
          </a:r>
          <a:endParaRPr lang="es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122400</xdr:colOff>
      <xdr:row>0</xdr:row>
      <xdr:rowOff>0</xdr:rowOff>
    </xdr:from>
    <xdr:to>
      <xdr:col>3</xdr:col>
      <xdr:colOff>179280</xdr:colOff>
      <xdr:row>3</xdr:row>
      <xdr:rowOff>313560</xdr:rowOff>
    </xdr:to>
    <xdr:pic>
      <xdr:nvPicPr>
        <xdr:cNvPr id="6" name="Picture 4"/>
        <xdr:cNvPicPr/>
      </xdr:nvPicPr>
      <xdr:blipFill>
        <a:blip r:embed="rId1"/>
        <a:stretch/>
      </xdr:blipFill>
      <xdr:spPr>
        <a:xfrm>
          <a:off x="234720" y="0"/>
          <a:ext cx="696240" cy="75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8671875" defaultRowHeight="11.25" customHeight="false" zeroHeight="true" outlineLevelRow="0" outlineLevelCol="0"/>
  <cols>
    <col collapsed="false" customWidth="true" hidden="false" outlineLevel="0" max="1" min="1" style="1" width="1.99"/>
    <col collapsed="false" customWidth="true" hidden="false" outlineLevel="0" max="2" min="2" style="1" width="6.33"/>
    <col collapsed="false" customWidth="true" hidden="false" outlineLevel="0" max="3" min="3" style="1" width="4.82"/>
    <col collapsed="false" customWidth="true" hidden="false" outlineLevel="0" max="4" min="4" style="1" width="5.33"/>
    <col collapsed="false" customWidth="true" hidden="false" outlineLevel="0" max="5" min="5" style="1" width="9.65"/>
    <col collapsed="false" customWidth="true" hidden="false" outlineLevel="0" max="6" min="6" style="1" width="14.82"/>
    <col collapsed="false" customWidth="true" hidden="false" outlineLevel="0" max="8" min="7" style="1" width="8.33"/>
    <col collapsed="false" customWidth="true" hidden="false" outlineLevel="0" max="9" min="9" style="1" width="2.82"/>
    <col collapsed="false" customWidth="true" hidden="false" outlineLevel="0" max="11" min="10" style="1" width="9.82"/>
    <col collapsed="false" customWidth="true" hidden="false" outlineLevel="0" max="12" min="12" style="1" width="5.99"/>
    <col collapsed="false" customWidth="true" hidden="false" outlineLevel="0" max="13" min="13" style="1" width="9.49"/>
    <col collapsed="false" customWidth="true" hidden="false" outlineLevel="0" max="14" min="14" style="1" width="11.16"/>
    <col collapsed="false" customWidth="true" hidden="false" outlineLevel="0" max="15" min="15" style="1" width="33.49"/>
    <col collapsed="false" customWidth="true" hidden="false" outlineLevel="0" max="16" min="16" style="1" width="4.5"/>
    <col collapsed="false" customWidth="true" hidden="false" outlineLevel="0" max="17" min="17" style="1" width="3.33"/>
    <col collapsed="false" customWidth="true" hidden="false" outlineLevel="0" max="18" min="18" style="1" width="23.15"/>
    <col collapsed="false" customWidth="true" hidden="false" outlineLevel="0" max="19" min="19" style="1" width="6.33"/>
    <col collapsed="false" customWidth="true" hidden="false" outlineLevel="0" max="20" min="20" style="1" width="15.65"/>
    <col collapsed="false" customWidth="true" hidden="false" outlineLevel="0" max="21" min="21" style="1" width="14.49"/>
    <col collapsed="false" customWidth="true" hidden="false" outlineLevel="0" max="22" min="22" style="1" width="5.82"/>
    <col collapsed="false" customWidth="true" hidden="false" outlineLevel="0" max="23" min="23" style="1" width="30.33"/>
    <col collapsed="false" customWidth="true" hidden="false" outlineLevel="0" max="24" min="24" style="1" width="4.99"/>
    <col collapsed="false" customWidth="true" hidden="false" outlineLevel="0" max="25" min="25" style="1" width="1.32"/>
    <col collapsed="false" customWidth="true" hidden="true" outlineLevel="0" max="26" min="26" style="1" width="11.49"/>
    <col collapsed="false" customWidth="true" hidden="true" outlineLevel="0" max="27" min="27" style="1" width="13.65"/>
    <col collapsed="false" customWidth="true" hidden="true" outlineLevel="0" max="28" min="28" style="1" width="11.49"/>
    <col collapsed="false" customWidth="true" hidden="true" outlineLevel="0" max="29" min="29" style="1" width="7.33"/>
    <col collapsed="false" customWidth="true" hidden="true" outlineLevel="0" max="30" min="30" style="1" width="12.65"/>
    <col collapsed="false" customWidth="true" hidden="true" outlineLevel="0" max="31" min="31" style="1" width="10.99"/>
    <col collapsed="false" customWidth="true" hidden="true" outlineLevel="0" max="32" min="32" style="1" width="11.99"/>
    <col collapsed="false" customWidth="true" hidden="true" outlineLevel="0" max="37" min="33" style="1" width="7.33"/>
    <col collapsed="false" customWidth="true" hidden="true" outlineLevel="0" max="38" min="38" style="1" width="5.82"/>
    <col collapsed="false" customWidth="true" hidden="true" outlineLevel="0" max="39" min="39" style="1" width="29.82"/>
    <col collapsed="false" customWidth="true" hidden="true" outlineLevel="0" max="40" min="40" style="1" width="2.65"/>
    <col collapsed="false" customWidth="false" hidden="true" outlineLevel="0" max="257" min="41" style="1" width="14.38"/>
    <col collapsed="false" customWidth="false" hidden="true" outlineLevel="0" max="16384" min="258" style="0" width="14.38"/>
  </cols>
  <sheetData>
    <row r="1" customFormat="false" ht="4.5" hidden="false" customHeight="true" outlineLevel="0" collapsed="false"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.75" hidden="false" customHeight="false" outlineLevel="0" collapsed="false">
      <c r="E2" s="3" t="s">
        <v>0</v>
      </c>
      <c r="X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</row>
    <row r="3" customFormat="false" ht="14.25" hidden="false" customHeight="false" outlineLevel="0" collapsed="false">
      <c r="E3" s="4" t="s">
        <v>1</v>
      </c>
      <c r="W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customFormat="false" ht="32.25" hidden="false" customHeight="true" outlineLevel="0" collapsed="false">
      <c r="C4" s="5"/>
      <c r="E4" s="6"/>
      <c r="W4" s="7"/>
      <c r="X4" s="7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</row>
    <row r="5" customFormat="false" ht="14.25" hidden="false" customHeight="false" outlineLevel="0" collapsed="false">
      <c r="B5" s="8" t="s">
        <v>2</v>
      </c>
      <c r="C5" s="9" t="s">
        <v>3</v>
      </c>
      <c r="D5" s="9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Z5" s="2" t="e">
        <f aca="false">+IF(#REF!="",1,2)</f>
        <v>#REF!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</row>
    <row r="6" customFormat="false" ht="15.75" hidden="false" customHeight="true" outlineLevel="0" collapsed="false">
      <c r="B6" s="13"/>
      <c r="C6" s="14" t="s">
        <v>4</v>
      </c>
      <c r="D6" s="14"/>
      <c r="E6" s="14"/>
      <c r="F6" s="15"/>
      <c r="G6" s="15"/>
      <c r="H6" s="15"/>
      <c r="I6" s="16" t="s">
        <v>5</v>
      </c>
      <c r="J6" s="15"/>
      <c r="K6" s="15"/>
      <c r="L6" s="15"/>
      <c r="M6" s="15"/>
      <c r="N6" s="15"/>
      <c r="O6" s="2"/>
      <c r="P6" s="15"/>
      <c r="Q6" s="16" t="s">
        <v>6</v>
      </c>
      <c r="R6" s="16"/>
      <c r="S6" s="17"/>
      <c r="T6" s="17"/>
      <c r="U6" s="17"/>
      <c r="V6" s="17"/>
      <c r="W6" s="17"/>
      <c r="X6" s="18"/>
      <c r="Z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</row>
    <row r="7" customFormat="false" ht="16.5" hidden="false" customHeight="true" outlineLevel="0" collapsed="false">
      <c r="B7" s="19"/>
      <c r="C7" s="2"/>
      <c r="D7" s="20"/>
      <c r="E7" s="20"/>
      <c r="F7" s="20"/>
      <c r="G7" s="20"/>
      <c r="H7" s="15"/>
      <c r="I7" s="21"/>
      <c r="J7" s="21"/>
      <c r="K7" s="21"/>
      <c r="L7" s="21"/>
      <c r="M7" s="21"/>
      <c r="N7" s="21"/>
      <c r="O7" s="21"/>
      <c r="P7" s="15"/>
      <c r="Q7" s="21"/>
      <c r="R7" s="21"/>
      <c r="S7" s="21"/>
      <c r="T7" s="21"/>
      <c r="U7" s="21"/>
      <c r="V7" s="21"/>
      <c r="W7" s="21"/>
      <c r="X7" s="18"/>
      <c r="Z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</row>
    <row r="8" customFormat="false" ht="6" hidden="false" customHeight="true" outlineLevel="0" collapsed="false">
      <c r="B8" s="19"/>
      <c r="C8" s="15"/>
      <c r="D8" s="15"/>
      <c r="E8" s="22"/>
      <c r="F8" s="22"/>
      <c r="G8" s="22"/>
      <c r="H8" s="15"/>
      <c r="I8" s="15"/>
      <c r="J8" s="15"/>
      <c r="K8" s="15"/>
      <c r="L8" s="23"/>
      <c r="M8" s="23"/>
      <c r="N8" s="23"/>
      <c r="O8" s="23"/>
      <c r="P8" s="24"/>
      <c r="Q8" s="23"/>
      <c r="R8" s="23"/>
      <c r="S8" s="23"/>
      <c r="T8" s="23"/>
      <c r="U8" s="23"/>
      <c r="V8" s="23"/>
      <c r="W8" s="23"/>
      <c r="X8" s="25"/>
      <c r="Z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</row>
    <row r="9" customFormat="false" ht="14.25" hidden="false" customHeight="true" outlineLevel="0" collapsed="false">
      <c r="B9" s="19"/>
      <c r="C9" s="2"/>
      <c r="D9" s="26" t="s">
        <v>7</v>
      </c>
      <c r="E9" s="26"/>
      <c r="F9" s="26"/>
      <c r="G9" s="16"/>
      <c r="M9" s="27" t="s">
        <v>8</v>
      </c>
      <c r="N9" s="27"/>
      <c r="O9" s="27"/>
      <c r="P9" s="24"/>
      <c r="Q9" s="28" t="s">
        <v>9</v>
      </c>
      <c r="S9" s="17"/>
      <c r="T9" s="29" t="s">
        <v>10</v>
      </c>
      <c r="W9" s="30" t="s">
        <v>11</v>
      </c>
      <c r="X9" s="25"/>
      <c r="Z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</row>
    <row r="10" customFormat="false" ht="16.5" hidden="false" customHeight="true" outlineLevel="0" collapsed="false">
      <c r="B10" s="19"/>
      <c r="C10" s="15"/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3"/>
      <c r="O10" s="33"/>
      <c r="P10" s="24"/>
      <c r="Q10" s="34"/>
      <c r="R10" s="34"/>
      <c r="S10" s="15"/>
      <c r="T10" s="35"/>
      <c r="U10" s="35"/>
      <c r="V10" s="36"/>
      <c r="W10" s="37"/>
      <c r="X10" s="25"/>
      <c r="Z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</row>
    <row r="11" customFormat="false" ht="6" hidden="false" customHeight="true" outlineLevel="0" collapsed="false">
      <c r="B11" s="38"/>
      <c r="C11" s="39"/>
      <c r="D11" s="40"/>
      <c r="E11" s="40"/>
      <c r="F11" s="40"/>
      <c r="G11" s="40"/>
      <c r="H11" s="40"/>
      <c r="I11" s="40"/>
      <c r="J11" s="41"/>
      <c r="K11" s="41"/>
      <c r="L11" s="4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2"/>
      <c r="X11" s="43"/>
      <c r="Z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</row>
    <row r="12" customFormat="false" ht="6.75" hidden="false" customHeight="true" outlineLevel="0" collapsed="false">
      <c r="B12" s="1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</row>
    <row r="13" customFormat="false" ht="4.5" hidden="false" customHeight="true" outlineLevel="0" collapsed="false"/>
    <row r="14" customFormat="false" ht="14.25" hidden="false" customHeight="false" outlineLevel="0" collapsed="false">
      <c r="B14" s="8" t="s">
        <v>12</v>
      </c>
      <c r="C14" s="45" t="s">
        <v>13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 t="s">
        <v>14</v>
      </c>
      <c r="U14" s="46"/>
      <c r="V14" s="11"/>
      <c r="W14" s="47" t="s">
        <v>15</v>
      </c>
      <c r="X14" s="47"/>
    </row>
    <row r="15" customFormat="false" ht="15" hidden="false" customHeight="false" outlineLevel="0" collapsed="false">
      <c r="B15" s="48" t="n">
        <v>1</v>
      </c>
      <c r="C15" s="49" t="s">
        <v>16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0"/>
      <c r="U15" s="50"/>
      <c r="V15" s="51" t="s">
        <v>17</v>
      </c>
      <c r="W15" s="52"/>
      <c r="X15" s="52"/>
      <c r="AA15" s="53"/>
    </row>
    <row r="16" customFormat="false" ht="15" hidden="false" customHeight="false" outlineLevel="0" collapsed="false">
      <c r="B16" s="48" t="n">
        <f aca="false">+B15+1</f>
        <v>2</v>
      </c>
      <c r="C16" s="49" t="s">
        <v>18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  <c r="U16" s="50"/>
      <c r="V16" s="51" t="s">
        <v>17</v>
      </c>
      <c r="W16" s="52"/>
      <c r="X16" s="52"/>
      <c r="AA16" s="54"/>
    </row>
    <row r="17" customFormat="false" ht="15" hidden="false" customHeight="false" outlineLevel="0" collapsed="false">
      <c r="B17" s="48" t="n">
        <f aca="false">+B16+1</f>
        <v>3</v>
      </c>
      <c r="C17" s="49" t="s">
        <v>19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  <c r="U17" s="50"/>
      <c r="V17" s="51" t="s">
        <v>17</v>
      </c>
      <c r="W17" s="52"/>
      <c r="X17" s="52"/>
      <c r="AA17" s="53"/>
    </row>
    <row r="18" customFormat="false" ht="15" hidden="false" customHeight="false" outlineLevel="0" collapsed="false">
      <c r="B18" s="48" t="n">
        <f aca="false">+B17+1</f>
        <v>4</v>
      </c>
      <c r="C18" s="49" t="s">
        <v>20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50"/>
      <c r="V18" s="51" t="s">
        <v>21</v>
      </c>
      <c r="W18" s="52"/>
      <c r="X18" s="52"/>
    </row>
    <row r="19" customFormat="false" ht="15" hidden="false" customHeight="false" outlineLevel="0" collapsed="false">
      <c r="A19" s="55"/>
      <c r="B19" s="48" t="n">
        <f aca="false">+B18+1</f>
        <v>5</v>
      </c>
      <c r="C19" s="49" t="s">
        <v>22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50"/>
      <c r="V19" s="51" t="s">
        <v>17</v>
      </c>
      <c r="W19" s="52"/>
      <c r="X19" s="52"/>
    </row>
    <row r="20" customFormat="false" ht="15" hidden="false" customHeight="false" outlineLevel="0" collapsed="false">
      <c r="A20" s="55"/>
      <c r="B20" s="48" t="n">
        <f aca="false">+B19+1</f>
        <v>6</v>
      </c>
      <c r="C20" s="49" t="s">
        <v>23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  <c r="U20" s="50"/>
      <c r="V20" s="51" t="s">
        <v>17</v>
      </c>
      <c r="W20" s="52"/>
      <c r="X20" s="52"/>
    </row>
    <row r="21" customFormat="false" ht="15" hidden="false" customHeight="false" outlineLevel="0" collapsed="false">
      <c r="A21" s="55"/>
      <c r="B21" s="48" t="n">
        <f aca="false">+B20+1</f>
        <v>7</v>
      </c>
      <c r="C21" s="49" t="s">
        <v>24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  <c r="U21" s="50"/>
      <c r="V21" s="51" t="s">
        <v>17</v>
      </c>
      <c r="W21" s="52"/>
      <c r="X21" s="52"/>
    </row>
    <row r="22" customFormat="false" ht="15" hidden="false" customHeight="false" outlineLevel="0" collapsed="false">
      <c r="A22" s="55"/>
      <c r="B22" s="56" t="n">
        <f aca="false">+B21+1</f>
        <v>8</v>
      </c>
      <c r="C22" s="57" t="s">
        <v>25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8"/>
      <c r="U22" s="58"/>
      <c r="V22" s="59" t="s">
        <v>17</v>
      </c>
      <c r="W22" s="52"/>
      <c r="X22" s="52"/>
    </row>
    <row r="23" customFormat="false" ht="15" hidden="false" customHeight="false" outlineLevel="0" collapsed="false">
      <c r="A23" s="55"/>
      <c r="B23" s="48" t="n">
        <f aca="false">+B22+1</f>
        <v>9</v>
      </c>
      <c r="C23" s="60" t="s">
        <v>26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50"/>
      <c r="U23" s="50"/>
      <c r="V23" s="51" t="s">
        <v>17</v>
      </c>
      <c r="W23" s="52"/>
      <c r="X23" s="52"/>
    </row>
    <row r="24" customFormat="false" ht="15" hidden="false" customHeight="false" outlineLevel="0" collapsed="false">
      <c r="A24" s="55"/>
      <c r="B24" s="48" t="n">
        <f aca="false">+B23+1</f>
        <v>10</v>
      </c>
      <c r="C24" s="60" t="s">
        <v>27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50"/>
      <c r="U24" s="50"/>
      <c r="V24" s="51" t="s">
        <v>21</v>
      </c>
      <c r="W24" s="52"/>
      <c r="X24" s="52"/>
    </row>
    <row r="25" customFormat="false" ht="15" hidden="false" customHeight="false" outlineLevel="0" collapsed="false">
      <c r="A25" s="55"/>
      <c r="B25" s="61" t="n">
        <f aca="false">+B24+1</f>
        <v>11</v>
      </c>
      <c r="C25" s="62" t="s">
        <v>28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 t="s">
        <v>29</v>
      </c>
      <c r="W25" s="64" t="n">
        <f aca="false">W15+W16+W17+W19+W20+W21+W22+W23-W18-W24</f>
        <v>0</v>
      </c>
      <c r="X25" s="64"/>
    </row>
    <row r="26" customFormat="false" ht="1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 customFormat="false" ht="14.25" hidden="false" customHeight="false" outlineLevel="0" collapsed="false">
      <c r="A27" s="55"/>
      <c r="B27" s="8" t="s">
        <v>30</v>
      </c>
      <c r="C27" s="10" t="s">
        <v>31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47" t="s">
        <v>32</v>
      </c>
      <c r="X27" s="47"/>
    </row>
    <row r="28" customFormat="false" ht="15" hidden="false" customHeight="false" outlineLevel="0" collapsed="false">
      <c r="A28" s="55"/>
      <c r="B28" s="48" t="n">
        <f aca="false">+B25+1</f>
        <v>12</v>
      </c>
      <c r="C28" s="65" t="s">
        <v>33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51" t="s">
        <v>17</v>
      </c>
      <c r="W28" s="52"/>
      <c r="X28" s="52"/>
    </row>
    <row r="29" customFormat="false" ht="15" hidden="false" customHeight="false" outlineLevel="0" collapsed="false">
      <c r="A29" s="55"/>
      <c r="B29" s="48" t="n">
        <f aca="false">+B28+1</f>
        <v>13</v>
      </c>
      <c r="C29" s="65" t="s">
        <v>34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51" t="s">
        <v>17</v>
      </c>
      <c r="W29" s="52"/>
      <c r="X29" s="52"/>
    </row>
    <row r="30" customFormat="false" ht="15" hidden="false" customHeight="false" outlineLevel="0" collapsed="false">
      <c r="A30" s="55"/>
      <c r="B30" s="48" t="n">
        <f aca="false">+B29+1</f>
        <v>14</v>
      </c>
      <c r="C30" s="65" t="s">
        <v>35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51" t="s">
        <v>17</v>
      </c>
      <c r="W30" s="52"/>
      <c r="X30" s="52"/>
    </row>
    <row r="31" customFormat="false" ht="15" hidden="false" customHeight="false" outlineLevel="0" collapsed="false">
      <c r="A31" s="55"/>
      <c r="B31" s="48" t="n">
        <f aca="false">+B30+1</f>
        <v>15</v>
      </c>
      <c r="C31" s="65" t="s">
        <v>36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51" t="s">
        <v>17</v>
      </c>
      <c r="W31" s="52"/>
      <c r="X31" s="52"/>
    </row>
    <row r="32" customFormat="false" ht="15" hidden="false" customHeight="false" outlineLevel="0" collapsed="false">
      <c r="A32" s="55"/>
      <c r="B32" s="48" t="n">
        <f aca="false">+B31+1</f>
        <v>16</v>
      </c>
      <c r="C32" s="65" t="s">
        <v>37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51" t="s">
        <v>17</v>
      </c>
      <c r="W32" s="52"/>
      <c r="X32" s="52"/>
      <c r="Z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</row>
    <row r="33" customFormat="false" ht="15" hidden="false" customHeight="false" outlineLevel="0" collapsed="false">
      <c r="A33" s="55"/>
      <c r="B33" s="48" t="n">
        <f aca="false">+B32+1</f>
        <v>17</v>
      </c>
      <c r="C33" s="65" t="s">
        <v>38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51" t="s">
        <v>17</v>
      </c>
      <c r="W33" s="52"/>
      <c r="X33" s="52"/>
      <c r="Z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</row>
    <row r="34" customFormat="false" ht="15" hidden="false" customHeight="false" outlineLevel="0" collapsed="false">
      <c r="A34" s="55"/>
      <c r="B34" s="48" t="n">
        <f aca="false">+B33+1</f>
        <v>18</v>
      </c>
      <c r="C34" s="65" t="s">
        <v>39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51" t="s">
        <v>17</v>
      </c>
      <c r="W34" s="52"/>
      <c r="X34" s="52"/>
      <c r="Z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</row>
    <row r="35" customFormat="false" ht="15" hidden="false" customHeight="false" outlineLevel="0" collapsed="false">
      <c r="A35" s="55"/>
      <c r="B35" s="61" t="n">
        <f aca="false">+B34+1</f>
        <v>19</v>
      </c>
      <c r="C35" s="66" t="s">
        <v>40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3" t="s">
        <v>29</v>
      </c>
      <c r="W35" s="64" t="n">
        <f aca="false">ABS(SUM(W28:X34))</f>
        <v>0</v>
      </c>
      <c r="X35" s="64"/>
      <c r="Z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</row>
    <row r="36" customFormat="false" ht="15" hidden="false" customHeight="false" outlineLevel="0" collapsed="false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X36" s="2"/>
      <c r="Z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</row>
    <row r="37" customFormat="false" ht="14.25" hidden="false" customHeight="false" outlineLevel="0" collapsed="false">
      <c r="A37" s="55"/>
      <c r="B37" s="8" t="s">
        <v>41</v>
      </c>
      <c r="C37" s="10" t="s">
        <v>42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47" t="s">
        <v>15</v>
      </c>
      <c r="X37" s="47"/>
      <c r="Z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</row>
    <row r="38" customFormat="false" ht="15" hidden="false" customHeight="false" outlineLevel="0" collapsed="false">
      <c r="A38" s="55"/>
      <c r="B38" s="48" t="n">
        <f aca="false">+B35+1</f>
        <v>20</v>
      </c>
      <c r="C38" s="65" t="s">
        <v>43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51" t="s">
        <v>17</v>
      </c>
      <c r="W38" s="52"/>
      <c r="X38" s="52"/>
      <c r="Z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</row>
    <row r="39" customFormat="false" ht="15" hidden="false" customHeight="false" outlineLevel="0" collapsed="false">
      <c r="A39" s="55"/>
      <c r="B39" s="48" t="n">
        <f aca="false">+B38+1</f>
        <v>21</v>
      </c>
      <c r="C39" s="65" t="s">
        <v>44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51" t="s">
        <v>17</v>
      </c>
      <c r="W39" s="52"/>
      <c r="X39" s="52"/>
      <c r="Z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</row>
    <row r="40" customFormat="false" ht="15" hidden="false" customHeight="false" outlineLevel="0" collapsed="false">
      <c r="A40" s="55"/>
      <c r="B40" s="48" t="n">
        <f aca="false">+B39+1</f>
        <v>22</v>
      </c>
      <c r="C40" s="65" t="s">
        <v>45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51" t="s">
        <v>17</v>
      </c>
      <c r="W40" s="52"/>
      <c r="X40" s="52"/>
      <c r="Z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</row>
    <row r="41" customFormat="false" ht="15" hidden="false" customHeight="false" outlineLevel="0" collapsed="false">
      <c r="A41" s="55"/>
      <c r="B41" s="48" t="n">
        <f aca="false">+B40+1</f>
        <v>23</v>
      </c>
      <c r="C41" s="65" t="s">
        <v>46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51" t="s">
        <v>17</v>
      </c>
      <c r="W41" s="52"/>
      <c r="X41" s="52"/>
      <c r="Z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</row>
    <row r="42" customFormat="false" ht="15" hidden="false" customHeight="false" outlineLevel="0" collapsed="false">
      <c r="A42" s="55"/>
      <c r="B42" s="48" t="n">
        <f aca="false">+B41+1</f>
        <v>24</v>
      </c>
      <c r="C42" s="65" t="s">
        <v>47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51" t="s">
        <v>17</v>
      </c>
      <c r="W42" s="52"/>
      <c r="X42" s="52"/>
      <c r="Z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</row>
    <row r="43" customFormat="false" ht="15" hidden="false" customHeight="false" outlineLevel="0" collapsed="false">
      <c r="A43" s="55"/>
      <c r="B43" s="48" t="n">
        <f aca="false">+B42+1</f>
        <v>25</v>
      </c>
      <c r="C43" s="65" t="s">
        <v>48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51" t="s">
        <v>17</v>
      </c>
      <c r="W43" s="52"/>
      <c r="X43" s="52"/>
      <c r="Z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</row>
    <row r="44" customFormat="false" ht="15" hidden="false" customHeight="false" outlineLevel="0" collapsed="false">
      <c r="A44" s="55"/>
      <c r="B44" s="61" t="n">
        <f aca="false">+B43+1</f>
        <v>26</v>
      </c>
      <c r="C44" s="66" t="s">
        <v>49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3" t="s">
        <v>29</v>
      </c>
      <c r="W44" s="64" t="n">
        <f aca="false">ABS(SUM(W38:X43))</f>
        <v>0</v>
      </c>
      <c r="X44" s="64"/>
      <c r="Z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</row>
    <row r="45" customFormat="false" ht="15.75" hidden="false" customHeight="false" outlineLevel="0" collapsed="false">
      <c r="B45" s="6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9"/>
      <c r="W45" s="70"/>
      <c r="X45" s="70"/>
      <c r="Z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</row>
    <row r="46" customFormat="false" ht="14.25" hidden="false" customHeight="false" outlineLevel="0" collapsed="false">
      <c r="A46" s="55"/>
      <c r="B46" s="8" t="s">
        <v>50</v>
      </c>
      <c r="C46" s="71" t="s">
        <v>51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11"/>
      <c r="W46" s="47" t="s">
        <v>15</v>
      </c>
      <c r="X46" s="47"/>
    </row>
    <row r="47" customFormat="false" ht="15" hidden="false" customHeight="false" outlineLevel="0" collapsed="false">
      <c r="A47" s="55"/>
      <c r="B47" s="48" t="n">
        <f aca="false">B44+1</f>
        <v>27</v>
      </c>
      <c r="C47" s="72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51" t="s">
        <v>17</v>
      </c>
      <c r="W47" s="52"/>
      <c r="X47" s="52"/>
    </row>
    <row r="48" customFormat="false" ht="15" hidden="false" customHeight="false" outlineLevel="0" collapsed="false">
      <c r="A48" s="55"/>
      <c r="B48" s="48" t="n">
        <f aca="false">+B47+1</f>
        <v>28</v>
      </c>
      <c r="C48" s="72" t="s">
        <v>53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51" t="s">
        <v>17</v>
      </c>
      <c r="W48" s="52"/>
      <c r="X48" s="52"/>
    </row>
    <row r="49" customFormat="false" ht="15" hidden="false" customHeight="false" outlineLevel="0" collapsed="false">
      <c r="A49" s="55"/>
      <c r="B49" s="48" t="n">
        <f aca="false">+B48+1</f>
        <v>29</v>
      </c>
      <c r="C49" s="73" t="s">
        <v>54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51" t="s">
        <v>17</v>
      </c>
      <c r="W49" s="52"/>
      <c r="X49" s="52"/>
    </row>
    <row r="50" customFormat="false" ht="15" hidden="false" customHeight="false" outlineLevel="0" collapsed="false">
      <c r="A50" s="55"/>
      <c r="B50" s="48" t="n">
        <f aca="false">+B49+1</f>
        <v>30</v>
      </c>
      <c r="C50" s="72" t="s">
        <v>55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51" t="s">
        <v>17</v>
      </c>
      <c r="W50" s="52"/>
      <c r="X50" s="52"/>
    </row>
    <row r="51" customFormat="false" ht="15" hidden="false" customHeight="false" outlineLevel="0" collapsed="false">
      <c r="A51" s="55"/>
      <c r="B51" s="48" t="n">
        <f aca="false">+B50+1</f>
        <v>31</v>
      </c>
      <c r="C51" s="73" t="s">
        <v>56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51" t="s">
        <v>17</v>
      </c>
      <c r="W51" s="52"/>
      <c r="X51" s="52"/>
    </row>
    <row r="52" customFormat="false" ht="15" hidden="false" customHeight="false" outlineLevel="0" collapsed="false">
      <c r="A52" s="55"/>
      <c r="B52" s="48" t="n">
        <f aca="false">+B51+1</f>
        <v>32</v>
      </c>
      <c r="C52" s="72" t="s">
        <v>57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51" t="s">
        <v>17</v>
      </c>
      <c r="W52" s="52"/>
      <c r="X52" s="52"/>
    </row>
    <row r="53" customFormat="false" ht="15.75" hidden="false" customHeight="true" outlineLevel="0" collapsed="false">
      <c r="A53" s="55"/>
      <c r="B53" s="74" t="n">
        <f aca="false">+B52+1</f>
        <v>33</v>
      </c>
      <c r="C53" s="75" t="s">
        <v>58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6" t="s">
        <v>29</v>
      </c>
      <c r="W53" s="64" t="n">
        <f aca="false">ABS(SUM(W47:X52))</f>
        <v>0</v>
      </c>
      <c r="X53" s="64"/>
    </row>
    <row r="54" customFormat="false" ht="15" hidden="false" customHeight="false" outlineLevel="0" collapsed="false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</row>
    <row r="55" customFormat="false" ht="14.25" hidden="false" customHeight="false" outlineLevel="0" collapsed="false">
      <c r="A55" s="55"/>
      <c r="B55" s="8" t="s">
        <v>59</v>
      </c>
      <c r="C55" s="71" t="s">
        <v>60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11"/>
      <c r="T55" s="46" t="s">
        <v>61</v>
      </c>
      <c r="U55" s="46"/>
      <c r="V55" s="11"/>
      <c r="W55" s="47" t="s">
        <v>15</v>
      </c>
      <c r="X55" s="47"/>
    </row>
    <row r="56" customFormat="false" ht="15" hidden="false" customHeight="false" outlineLevel="0" collapsed="false">
      <c r="A56" s="55"/>
      <c r="B56" s="48" t="n">
        <f aca="false">B53+1</f>
        <v>34</v>
      </c>
      <c r="C56" s="73" t="s">
        <v>62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51" t="s">
        <v>17</v>
      </c>
      <c r="T56" s="77"/>
      <c r="U56" s="77"/>
      <c r="V56" s="51" t="s">
        <v>17</v>
      </c>
      <c r="W56" s="78" t="n">
        <f aca="false">T56*10%</f>
        <v>0</v>
      </c>
      <c r="X56" s="78"/>
    </row>
    <row r="57" customFormat="false" ht="15" hidden="false" customHeight="false" outlineLevel="0" collapsed="false">
      <c r="A57" s="55"/>
      <c r="B57" s="48" t="n">
        <f aca="false">+B56+1</f>
        <v>35</v>
      </c>
      <c r="C57" s="73" t="s">
        <v>63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51" t="s">
        <v>17</v>
      </c>
      <c r="T57" s="77"/>
      <c r="U57" s="77"/>
      <c r="V57" s="51" t="s">
        <v>17</v>
      </c>
      <c r="W57" s="79"/>
      <c r="X57" s="79"/>
    </row>
    <row r="58" customFormat="false" ht="15" hidden="false" customHeight="false" outlineLevel="0" collapsed="false">
      <c r="A58" s="55"/>
      <c r="B58" s="48" t="n">
        <f aca="false">+B57+1</f>
        <v>36</v>
      </c>
      <c r="C58" s="73" t="s">
        <v>64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51" t="s">
        <v>17</v>
      </c>
      <c r="W58" s="79"/>
      <c r="X58" s="79"/>
    </row>
    <row r="59" customFormat="false" ht="15" hidden="false" customHeight="false" outlineLevel="0" collapsed="false">
      <c r="A59" s="55"/>
      <c r="B59" s="80" t="n">
        <f aca="false">+B58+1</f>
        <v>37</v>
      </c>
      <c r="C59" s="81" t="s">
        <v>65</v>
      </c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2" t="s">
        <v>29</v>
      </c>
      <c r="T59" s="83" t="n">
        <f aca="false">ABS(SUM(T56:U57))</f>
        <v>0</v>
      </c>
      <c r="U59" s="83"/>
      <c r="V59" s="51" t="s">
        <v>29</v>
      </c>
      <c r="W59" s="78" t="n">
        <f aca="false">ABS(SUM(W56:X58))</f>
        <v>0</v>
      </c>
      <c r="X59" s="78"/>
    </row>
    <row r="60" customFormat="false" ht="15" hidden="false" customHeight="false" outlineLevel="0" collapsed="false">
      <c r="A60" s="55"/>
      <c r="B60" s="61" t="n">
        <f aca="false">B59+1</f>
        <v>38</v>
      </c>
      <c r="C60" s="84" t="s">
        <v>66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63" t="s">
        <v>29</v>
      </c>
      <c r="W60" s="64" t="n">
        <f aca="false">IF(T59-W59&lt;0,0,T59-W59)</f>
        <v>0</v>
      </c>
      <c r="X60" s="64"/>
    </row>
    <row r="61" customFormat="false" ht="15" hidden="false" customHeight="false" outlineLevel="0" collapsed="false">
      <c r="A61" s="5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</row>
    <row r="62" customFormat="false" ht="14.25" hidden="false" customHeight="false" outlineLevel="0" collapsed="false">
      <c r="A62" s="55"/>
      <c r="B62" s="8" t="s">
        <v>67</v>
      </c>
      <c r="C62" s="10" t="s">
        <v>68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46" t="s">
        <v>61</v>
      </c>
      <c r="U62" s="46"/>
      <c r="V62" s="11"/>
      <c r="W62" s="47" t="s">
        <v>15</v>
      </c>
      <c r="X62" s="47"/>
    </row>
    <row r="63" customFormat="false" ht="15" hidden="false" customHeight="false" outlineLevel="0" collapsed="false">
      <c r="A63" s="55"/>
      <c r="B63" s="48" t="n">
        <f aca="false">+B60+1</f>
        <v>39</v>
      </c>
      <c r="C63" s="73" t="s">
        <v>69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51" t="s">
        <v>17</v>
      </c>
      <c r="T63" s="86"/>
      <c r="U63" s="86"/>
      <c r="V63" s="51" t="s">
        <v>17</v>
      </c>
      <c r="W63" s="52"/>
      <c r="X63" s="52"/>
    </row>
    <row r="64" customFormat="false" ht="15" hidden="false" customHeight="false" outlineLevel="0" collapsed="false">
      <c r="A64" s="55"/>
      <c r="B64" s="48" t="n">
        <f aca="false">+B63+1</f>
        <v>40</v>
      </c>
      <c r="C64" s="73" t="s">
        <v>70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51" t="s">
        <v>17</v>
      </c>
      <c r="T64" s="86"/>
      <c r="U64" s="86"/>
      <c r="V64" s="51" t="s">
        <v>17</v>
      </c>
      <c r="W64" s="52"/>
      <c r="X64" s="52"/>
    </row>
    <row r="65" customFormat="false" ht="15" hidden="false" customHeight="false" outlineLevel="0" collapsed="false">
      <c r="A65" s="55"/>
      <c r="B65" s="80" t="n">
        <f aca="false">B64+1</f>
        <v>41</v>
      </c>
      <c r="C65" s="81" t="s">
        <v>71</v>
      </c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51" t="s">
        <v>29</v>
      </c>
      <c r="T65" s="83" t="n">
        <f aca="false">ABS(SUM(T63:U64))</f>
        <v>0</v>
      </c>
      <c r="U65" s="83"/>
      <c r="V65" s="51" t="s">
        <v>29</v>
      </c>
      <c r="W65" s="87" t="n">
        <f aca="false">ABS(SUM(W63:X64))</f>
        <v>0</v>
      </c>
      <c r="X65" s="87"/>
      <c r="Z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</row>
    <row r="66" customFormat="false" ht="15" hidden="false" customHeight="false" outlineLevel="0" collapsed="false">
      <c r="A66" s="55"/>
      <c r="B66" s="61" t="n">
        <f aca="false">B65+1</f>
        <v>42</v>
      </c>
      <c r="C66" s="62" t="s">
        <v>72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3" t="s">
        <v>29</v>
      </c>
      <c r="W66" s="64" t="n">
        <f aca="false">IF(T65-W65&lt;0,0,T65-W65)</f>
        <v>0</v>
      </c>
      <c r="X66" s="64"/>
      <c r="Z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</row>
    <row r="67" customFormat="false" ht="15" hidden="false" customHeight="false" outlineLevel="0" collapsed="false">
      <c r="A67" s="55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X67" s="2"/>
      <c r="Z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</row>
    <row r="68" customFormat="false" ht="15.75" hidden="false" customHeight="false" outlineLevel="0" collapsed="false">
      <c r="A68" s="55"/>
      <c r="B68" s="8" t="s">
        <v>73</v>
      </c>
      <c r="C68" s="89" t="s">
        <v>74</v>
      </c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90"/>
      <c r="W68" s="91" t="s">
        <v>15</v>
      </c>
      <c r="X68" s="91"/>
    </row>
    <row r="69" customFormat="false" ht="15.75" hidden="false" customHeight="false" outlineLevel="0" collapsed="false">
      <c r="A69" s="55"/>
      <c r="B69" s="48" t="n">
        <f aca="false">+B66+1</f>
        <v>43</v>
      </c>
      <c r="C69" s="73" t="s">
        <v>75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92" t="s">
        <v>29</v>
      </c>
      <c r="W69" s="93"/>
      <c r="X69" s="93"/>
    </row>
    <row r="70" customFormat="false" ht="16.5" hidden="false" customHeight="false" outlineLevel="0" collapsed="false">
      <c r="A70" s="55"/>
      <c r="B70" s="94" t="n">
        <f aca="false">+B69+1</f>
        <v>44</v>
      </c>
      <c r="C70" s="95" t="s">
        <v>76</v>
      </c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76" t="s">
        <v>29</v>
      </c>
      <c r="W70" s="96"/>
      <c r="X70" s="96"/>
    </row>
    <row r="71" customFormat="false" ht="15" hidden="false" customHeight="fals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</row>
    <row r="72" customFormat="false" ht="14.25" hidden="false" customHeight="false" outlineLevel="0" collapsed="false">
      <c r="B72" s="8" t="s">
        <v>77</v>
      </c>
      <c r="C72" s="9" t="s">
        <v>78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7" t="s">
        <v>79</v>
      </c>
      <c r="P72" s="97" t="s">
        <v>80</v>
      </c>
      <c r="Q72" s="97"/>
      <c r="R72" s="97"/>
      <c r="S72" s="97"/>
      <c r="T72" s="97" t="s">
        <v>81</v>
      </c>
      <c r="U72" s="97"/>
      <c r="V72" s="97"/>
      <c r="W72" s="98" t="s">
        <v>82</v>
      </c>
      <c r="X72" s="98"/>
      <c r="Z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</row>
    <row r="73" customFormat="false" ht="14.25" hidden="false" customHeight="false" outlineLevel="0" collapsed="false">
      <c r="B73" s="99" t="s">
        <v>83</v>
      </c>
      <c r="C73" s="100" t="s">
        <v>84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97"/>
      <c r="P73" s="97"/>
      <c r="Q73" s="97"/>
      <c r="R73" s="97"/>
      <c r="S73" s="97"/>
      <c r="T73" s="97"/>
      <c r="U73" s="97"/>
      <c r="V73" s="97"/>
      <c r="W73" s="98"/>
      <c r="X73" s="98"/>
      <c r="Z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</row>
    <row r="74" customFormat="false" ht="15" hidden="false" customHeight="false" outlineLevel="0" collapsed="false">
      <c r="B74" s="48" t="n">
        <f aca="false">+B70+1</f>
        <v>45</v>
      </c>
      <c r="C74" s="73" t="s">
        <v>85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101"/>
      <c r="P74" s="101"/>
      <c r="Q74" s="101"/>
      <c r="R74" s="101"/>
      <c r="S74" s="101"/>
      <c r="T74" s="102"/>
      <c r="U74" s="102"/>
      <c r="V74" s="102"/>
      <c r="W74" s="103" t="n">
        <f aca="false">SUM(O74:V74)</f>
        <v>0</v>
      </c>
      <c r="X74" s="103"/>
      <c r="Z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</row>
    <row r="75" customFormat="false" ht="15" hidden="false" customHeight="false" outlineLevel="0" collapsed="false">
      <c r="B75" s="104" t="n">
        <f aca="false">+B74+1</f>
        <v>46</v>
      </c>
      <c r="C75" s="60" t="s">
        <v>86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101"/>
      <c r="P75" s="101"/>
      <c r="Q75" s="101"/>
      <c r="R75" s="101"/>
      <c r="S75" s="101"/>
      <c r="T75" s="102"/>
      <c r="U75" s="102"/>
      <c r="V75" s="102"/>
      <c r="W75" s="103" t="n">
        <f aca="false">SUM(O75:V75)</f>
        <v>0</v>
      </c>
      <c r="X75" s="103"/>
      <c r="Z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</row>
    <row r="76" customFormat="false" ht="15" hidden="false" customHeight="false" outlineLevel="0" collapsed="false">
      <c r="B76" s="104" t="n">
        <f aca="false">+B75+1</f>
        <v>47</v>
      </c>
      <c r="C76" s="60" t="s">
        <v>87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101"/>
      <c r="P76" s="101"/>
      <c r="Q76" s="101"/>
      <c r="R76" s="101"/>
      <c r="S76" s="101"/>
      <c r="T76" s="102"/>
      <c r="U76" s="102"/>
      <c r="V76" s="102"/>
      <c r="W76" s="103" t="n">
        <f aca="false">SUM(O76:V76)</f>
        <v>0</v>
      </c>
      <c r="X76" s="103"/>
      <c r="Z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</row>
    <row r="77" customFormat="false" ht="15" hidden="false" customHeight="false" outlineLevel="0" collapsed="false">
      <c r="B77" s="104" t="n">
        <f aca="false">+B76+1</f>
        <v>48</v>
      </c>
      <c r="C77" s="81" t="s">
        <v>88</v>
      </c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105" t="n">
        <f aca="false">SUM(O74:O76)</f>
        <v>0</v>
      </c>
      <c r="P77" s="106" t="n">
        <f aca="false">SUM(P74:S76)</f>
        <v>0</v>
      </c>
      <c r="Q77" s="106"/>
      <c r="R77" s="106"/>
      <c r="S77" s="106"/>
      <c r="T77" s="107" t="n">
        <f aca="false">SUM(T74:V76)</f>
        <v>0</v>
      </c>
      <c r="U77" s="107"/>
      <c r="V77" s="107"/>
      <c r="W77" s="103" t="n">
        <f aca="false">SUM(O77:V77)</f>
        <v>0</v>
      </c>
      <c r="X77" s="103"/>
      <c r="Z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</row>
    <row r="78" customFormat="false" ht="14.25" hidden="false" customHeight="false" outlineLevel="0" collapsed="false">
      <c r="B78" s="99" t="s">
        <v>89</v>
      </c>
      <c r="C78" s="108" t="s">
        <v>90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Z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</row>
    <row r="79" customFormat="false" ht="15" hidden="false" customHeight="false" outlineLevel="0" collapsed="false">
      <c r="B79" s="48" t="n">
        <f aca="false">+B77+1</f>
        <v>49</v>
      </c>
      <c r="C79" s="109" t="s">
        <v>91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1"/>
      <c r="P79" s="101"/>
      <c r="Q79" s="101"/>
      <c r="R79" s="101"/>
      <c r="S79" s="101"/>
      <c r="T79" s="101"/>
      <c r="U79" s="101"/>
      <c r="V79" s="101"/>
      <c r="W79" s="103" t="n">
        <f aca="false">SUM(O79:V79)</f>
        <v>0</v>
      </c>
      <c r="X79" s="103"/>
      <c r="Z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</row>
    <row r="80" customFormat="false" ht="15" hidden="false" customHeight="false" outlineLevel="0" collapsed="false">
      <c r="B80" s="48" t="n">
        <f aca="false">+B79+1</f>
        <v>50</v>
      </c>
      <c r="C80" s="65" t="s">
        <v>92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101"/>
      <c r="P80" s="101"/>
      <c r="Q80" s="101"/>
      <c r="R80" s="101"/>
      <c r="S80" s="101"/>
      <c r="T80" s="101"/>
      <c r="U80" s="101"/>
      <c r="V80" s="101"/>
      <c r="W80" s="103" t="n">
        <f aca="false">SUM(O80:V80)</f>
        <v>0</v>
      </c>
      <c r="X80" s="103"/>
      <c r="Z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</row>
    <row r="81" customFormat="false" ht="15" hidden="false" customHeight="false" outlineLevel="0" collapsed="false">
      <c r="B81" s="48" t="n">
        <f aca="false">B80+1</f>
        <v>51</v>
      </c>
      <c r="C81" s="65" t="s">
        <v>93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101"/>
      <c r="P81" s="101"/>
      <c r="Q81" s="101"/>
      <c r="R81" s="101"/>
      <c r="S81" s="101"/>
      <c r="T81" s="101"/>
      <c r="U81" s="101"/>
      <c r="V81" s="101"/>
      <c r="W81" s="103" t="n">
        <f aca="false">SUM(O81:V81)</f>
        <v>0</v>
      </c>
      <c r="X81" s="103"/>
      <c r="Z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</row>
    <row r="82" customFormat="false" ht="15" hidden="false" customHeight="false" outlineLevel="0" collapsed="false">
      <c r="B82" s="48" t="n">
        <f aca="false">B81+1</f>
        <v>52</v>
      </c>
      <c r="C82" s="110" t="s">
        <v>94</v>
      </c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1" t="n">
        <f aca="false">SUM(O79:O81)</f>
        <v>0</v>
      </c>
      <c r="P82" s="111" t="n">
        <f aca="false">SUM(P79:S81)</f>
        <v>0</v>
      </c>
      <c r="Q82" s="111"/>
      <c r="R82" s="111"/>
      <c r="S82" s="111"/>
      <c r="T82" s="111" t="n">
        <f aca="false">SUM(T79:V81)</f>
        <v>0</v>
      </c>
      <c r="U82" s="111"/>
      <c r="V82" s="111"/>
      <c r="W82" s="103" t="n">
        <f aca="false">SUM(O82:V82)</f>
        <v>0</v>
      </c>
      <c r="X82" s="103"/>
      <c r="Z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</row>
    <row r="83" customFormat="false" ht="13.15" hidden="false" customHeight="true" outlineLevel="0" collapsed="false">
      <c r="B83" s="99" t="s">
        <v>95</v>
      </c>
      <c r="C83" s="108" t="s">
        <v>96</v>
      </c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Z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</row>
    <row r="84" customFormat="false" ht="15" hidden="false" customHeight="false" outlineLevel="0" collapsed="false">
      <c r="B84" s="48" t="n">
        <f aca="false">B82+1</f>
        <v>53</v>
      </c>
      <c r="C84" s="73" t="s">
        <v>97</v>
      </c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101"/>
      <c r="P84" s="101"/>
      <c r="Q84" s="101"/>
      <c r="R84" s="101"/>
      <c r="S84" s="101"/>
      <c r="T84" s="101"/>
      <c r="U84" s="101"/>
      <c r="V84" s="101"/>
      <c r="W84" s="103" t="n">
        <f aca="false">SUM(O84:V84)</f>
        <v>0</v>
      </c>
      <c r="X84" s="103"/>
      <c r="Z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</row>
    <row r="85" customFormat="false" ht="15" hidden="false" customHeight="false" outlineLevel="0" collapsed="false">
      <c r="B85" s="48" t="n">
        <f aca="false">B84+1</f>
        <v>54</v>
      </c>
      <c r="C85" s="112" t="s">
        <v>98</v>
      </c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3" t="n">
        <f aca="false">IF('IT-1'!V17+'IT-1'!V18+'IT-1'!V22+'IT-1'!V20+'IT-1'!V21=0,0,IFERROR(('IT-1'!V16+'IT-1'!V19+'IT-1'!V25)/'IT-1'!V14,0))</f>
        <v>0</v>
      </c>
      <c r="X85" s="113"/>
      <c r="Z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</row>
    <row r="86" customFormat="false" ht="15" hidden="false" customHeight="false" outlineLevel="0" collapsed="false">
      <c r="B86" s="48" t="n">
        <f aca="false">B85+1</f>
        <v>55</v>
      </c>
      <c r="C86" s="81" t="s">
        <v>99</v>
      </c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114" t="n">
        <f aca="false">+O84*W85</f>
        <v>0</v>
      </c>
      <c r="P86" s="114" t="n">
        <f aca="false">+P84*W85</f>
        <v>0</v>
      </c>
      <c r="Q86" s="114"/>
      <c r="R86" s="114"/>
      <c r="S86" s="114"/>
      <c r="T86" s="114" t="n">
        <f aca="false">+T84*W85</f>
        <v>0</v>
      </c>
      <c r="U86" s="114"/>
      <c r="V86" s="114"/>
      <c r="W86" s="115" t="n">
        <f aca="false">SUM(O86:V86)</f>
        <v>0</v>
      </c>
      <c r="X86" s="115"/>
      <c r="Z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</row>
    <row r="87" customFormat="false" ht="15.75" hidden="false" customHeight="false" outlineLevel="0" collapsed="false">
      <c r="B87" s="48" t="n">
        <f aca="false">+B86+1</f>
        <v>56</v>
      </c>
      <c r="C87" s="116" t="s">
        <v>100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7" t="n">
        <f aca="false">O82+O86</f>
        <v>0</v>
      </c>
      <c r="P87" s="118" t="n">
        <f aca="false">P82+P86</f>
        <v>0</v>
      </c>
      <c r="Q87" s="118"/>
      <c r="R87" s="118"/>
      <c r="S87" s="118"/>
      <c r="T87" s="118" t="n">
        <f aca="false">T82+T86</f>
        <v>0</v>
      </c>
      <c r="U87" s="118"/>
      <c r="V87" s="118"/>
      <c r="W87" s="119" t="n">
        <f aca="false">SUM(O87:V87)</f>
        <v>0</v>
      </c>
      <c r="X87" s="119"/>
      <c r="Z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</row>
    <row r="88" customFormat="false" ht="14.25" hidden="false" customHeight="false" outlineLevel="0" collapsed="false">
      <c r="B88" s="120" t="s">
        <v>101</v>
      </c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</row>
  </sheetData>
  <sheetProtection sheet="true" password="c847" selectLockedCells="true"/>
  <mergeCells count="186">
    <mergeCell ref="W4:X4"/>
    <mergeCell ref="C6:E6"/>
    <mergeCell ref="D7:G7"/>
    <mergeCell ref="I7:O7"/>
    <mergeCell ref="Q7:W7"/>
    <mergeCell ref="D9:F9"/>
    <mergeCell ref="M9:O9"/>
    <mergeCell ref="D10:K10"/>
    <mergeCell ref="M10:O10"/>
    <mergeCell ref="Q10:R10"/>
    <mergeCell ref="T10:U10"/>
    <mergeCell ref="C14:S14"/>
    <mergeCell ref="T14:U14"/>
    <mergeCell ref="W14:X14"/>
    <mergeCell ref="C15:S15"/>
    <mergeCell ref="T15:U15"/>
    <mergeCell ref="W15:X15"/>
    <mergeCell ref="C16:S16"/>
    <mergeCell ref="T16:U16"/>
    <mergeCell ref="W16:X16"/>
    <mergeCell ref="C17:S17"/>
    <mergeCell ref="T17:U17"/>
    <mergeCell ref="W17:X17"/>
    <mergeCell ref="C18:S18"/>
    <mergeCell ref="T18:U18"/>
    <mergeCell ref="W18:X18"/>
    <mergeCell ref="C19:S19"/>
    <mergeCell ref="T19:U19"/>
    <mergeCell ref="W19:X19"/>
    <mergeCell ref="C20:S20"/>
    <mergeCell ref="T20:U20"/>
    <mergeCell ref="W20:X20"/>
    <mergeCell ref="C21:S21"/>
    <mergeCell ref="T21:U21"/>
    <mergeCell ref="W21:X21"/>
    <mergeCell ref="C22:S22"/>
    <mergeCell ref="T22:U22"/>
    <mergeCell ref="W22:X22"/>
    <mergeCell ref="C23:S23"/>
    <mergeCell ref="T23:U23"/>
    <mergeCell ref="W23:X23"/>
    <mergeCell ref="C24:S24"/>
    <mergeCell ref="T24:U24"/>
    <mergeCell ref="W24:X24"/>
    <mergeCell ref="C25:U25"/>
    <mergeCell ref="W25:X25"/>
    <mergeCell ref="C27:U27"/>
    <mergeCell ref="W27:X27"/>
    <mergeCell ref="C28:U28"/>
    <mergeCell ref="W28:X28"/>
    <mergeCell ref="C29:U29"/>
    <mergeCell ref="W29:X29"/>
    <mergeCell ref="C30:U30"/>
    <mergeCell ref="W30:X30"/>
    <mergeCell ref="C31:U31"/>
    <mergeCell ref="W31:X31"/>
    <mergeCell ref="C32:U32"/>
    <mergeCell ref="W32:X32"/>
    <mergeCell ref="C33:U33"/>
    <mergeCell ref="W33:X33"/>
    <mergeCell ref="C34:U34"/>
    <mergeCell ref="W34:X34"/>
    <mergeCell ref="C35:U35"/>
    <mergeCell ref="W35:X35"/>
    <mergeCell ref="C37:U37"/>
    <mergeCell ref="W37:X37"/>
    <mergeCell ref="C38:U38"/>
    <mergeCell ref="W38:X38"/>
    <mergeCell ref="C39:U39"/>
    <mergeCell ref="W39:X39"/>
    <mergeCell ref="C40:U40"/>
    <mergeCell ref="W40:X40"/>
    <mergeCell ref="C41:U41"/>
    <mergeCell ref="W41:X41"/>
    <mergeCell ref="C42:U42"/>
    <mergeCell ref="W42:X42"/>
    <mergeCell ref="C43:U43"/>
    <mergeCell ref="W43:X43"/>
    <mergeCell ref="C44:U44"/>
    <mergeCell ref="W44:X44"/>
    <mergeCell ref="C46:U46"/>
    <mergeCell ref="W46:X46"/>
    <mergeCell ref="C47:U47"/>
    <mergeCell ref="W47:X47"/>
    <mergeCell ref="C48:U48"/>
    <mergeCell ref="W48:X48"/>
    <mergeCell ref="C49:U49"/>
    <mergeCell ref="W49:X49"/>
    <mergeCell ref="C50:U50"/>
    <mergeCell ref="W50:X50"/>
    <mergeCell ref="C51:U51"/>
    <mergeCell ref="W51:X51"/>
    <mergeCell ref="C52:U52"/>
    <mergeCell ref="W52:X52"/>
    <mergeCell ref="C53:U53"/>
    <mergeCell ref="W53:X53"/>
    <mergeCell ref="C55:R55"/>
    <mergeCell ref="T55:U55"/>
    <mergeCell ref="W55:X55"/>
    <mergeCell ref="C56:R56"/>
    <mergeCell ref="T56:U56"/>
    <mergeCell ref="W56:X56"/>
    <mergeCell ref="C57:R57"/>
    <mergeCell ref="T57:U57"/>
    <mergeCell ref="W57:X57"/>
    <mergeCell ref="C58:U58"/>
    <mergeCell ref="W58:X58"/>
    <mergeCell ref="C59:R59"/>
    <mergeCell ref="T59:U59"/>
    <mergeCell ref="W59:X59"/>
    <mergeCell ref="C60:U60"/>
    <mergeCell ref="W60:X60"/>
    <mergeCell ref="B61:X61"/>
    <mergeCell ref="T62:U62"/>
    <mergeCell ref="W62:X62"/>
    <mergeCell ref="C63:R63"/>
    <mergeCell ref="T63:U63"/>
    <mergeCell ref="W63:X63"/>
    <mergeCell ref="C64:R64"/>
    <mergeCell ref="T64:U64"/>
    <mergeCell ref="W64:X64"/>
    <mergeCell ref="C65:R65"/>
    <mergeCell ref="T65:U65"/>
    <mergeCell ref="W65:X65"/>
    <mergeCell ref="C66:U66"/>
    <mergeCell ref="W66:X66"/>
    <mergeCell ref="C68:U68"/>
    <mergeCell ref="W68:X68"/>
    <mergeCell ref="C69:U69"/>
    <mergeCell ref="W69:X69"/>
    <mergeCell ref="C70:U70"/>
    <mergeCell ref="W70:X70"/>
    <mergeCell ref="C72:N72"/>
    <mergeCell ref="O72:O73"/>
    <mergeCell ref="P72:S73"/>
    <mergeCell ref="T72:V73"/>
    <mergeCell ref="W72:X73"/>
    <mergeCell ref="C73:N73"/>
    <mergeCell ref="C74:N74"/>
    <mergeCell ref="P74:S74"/>
    <mergeCell ref="T74:V74"/>
    <mergeCell ref="W74:X74"/>
    <mergeCell ref="C75:N75"/>
    <mergeCell ref="P75:S75"/>
    <mergeCell ref="T75:V75"/>
    <mergeCell ref="W75:X75"/>
    <mergeCell ref="C76:N76"/>
    <mergeCell ref="P76:S76"/>
    <mergeCell ref="T76:V76"/>
    <mergeCell ref="W76:X76"/>
    <mergeCell ref="C77:N77"/>
    <mergeCell ref="P77:S77"/>
    <mergeCell ref="T77:V77"/>
    <mergeCell ref="W77:X77"/>
    <mergeCell ref="C78:X78"/>
    <mergeCell ref="C79:N79"/>
    <mergeCell ref="P79:S79"/>
    <mergeCell ref="T79:V79"/>
    <mergeCell ref="W79:X79"/>
    <mergeCell ref="C80:N80"/>
    <mergeCell ref="P80:S80"/>
    <mergeCell ref="T80:V80"/>
    <mergeCell ref="W80:X80"/>
    <mergeCell ref="C81:N81"/>
    <mergeCell ref="P81:S81"/>
    <mergeCell ref="T81:V81"/>
    <mergeCell ref="W81:X81"/>
    <mergeCell ref="C82:N82"/>
    <mergeCell ref="P82:S82"/>
    <mergeCell ref="T82:V82"/>
    <mergeCell ref="W82:X82"/>
    <mergeCell ref="C83:X83"/>
    <mergeCell ref="C84:N84"/>
    <mergeCell ref="P84:S84"/>
    <mergeCell ref="T84:V84"/>
    <mergeCell ref="W84:X84"/>
    <mergeCell ref="C85:V85"/>
    <mergeCell ref="W85:X85"/>
    <mergeCell ref="C86:N86"/>
    <mergeCell ref="P86:S86"/>
    <mergeCell ref="T86:V86"/>
    <mergeCell ref="W86:X86"/>
    <mergeCell ref="C87:N87"/>
    <mergeCell ref="P87:S87"/>
    <mergeCell ref="T87:V87"/>
    <mergeCell ref="W87:X87"/>
  </mergeCells>
  <dataValidations count="6">
    <dataValidation allowBlank="true" errorStyle="stop" operator="between" showDropDown="false" showErrorMessage="true" showInputMessage="false" sqref="W10" type="list">
      <formula1>"NORMAL,RECTIFICATIVA,D,C,AJUSTES/ESTIMACIÓN,RECURSO RECONSIDERACIÓN,RECURSO CONTENCIOSO,MULTAS,PAGO A CUENTA"</formula1>
      <formula2>0</formula2>
    </dataValidation>
    <dataValidation allowBlank="true" errorStyle="stop" operator="greaterThanOrEqual" showDropDown="false" showErrorMessage="true" showInputMessage="false" sqref="T15:U24" type="whole">
      <formula1>0</formula1>
      <formula2>0</formula2>
    </dataValidation>
    <dataValidation allowBlank="true" errorStyle="stop" operator="greaterThanOrEqual" showDropDown="false" showErrorMessage="true" showInputMessage="false" sqref="C56:C60 S56:S57 V56:X56 D57:R57 V57:V60 S59 W60:X60 S63:S65 C87" type="none">
      <formula1>0</formula1>
      <formula2>0</formula2>
    </dataValidation>
    <dataValidation allowBlank="true" errorStyle="stop" operator="greaterThanOrEqual" showDropDown="false" showErrorMessage="true" showInputMessage="false" sqref="W15:X24 W28:X34 W38:X43 W47:X52 T56:U57 W57:X58 T63:U64 W63:X64 W69:X70 W87" type="decimal">
      <formula1>0</formula1>
      <formula2>0</formula2>
    </dataValidation>
    <dataValidation allowBlank="true" error="La casilla 52 &quot;ITBIS SUJETO A PROPORCIONALIDAD&quot; no puede ser mayor a la sumatoria de las casillas 48 + 49 + 50." errorStyle="stop" errorTitle="Advertencia" operator="between" showDropDown="false" showErrorMessage="true" showInputMessage="false" sqref="P84:V84" type="none">
      <formula1>0</formula1>
      <formula2>0</formula2>
    </dataValidation>
    <dataValidation allowBlank="true" error="La casilla 52 &quot;ITBIS SUJETO A PROPORCIONALIDAD&quot; no puede ser mayor a la sumatoria de las casillas 48 + 49 + 50." errorStyle="stop" errorTitle="Advertencia" operator="lessThanOrEqual" showDropDown="false" showErrorMessage="false" showInputMessage="false" sqref="O84" type="none">
      <formula1>0</formula1>
      <formula2>0</formula2>
    </dataValidation>
  </dataValidations>
  <printOptions headings="false" gridLines="false" gridLinesSet="true" horizontalCentered="false" verticalCentered="false"/>
  <pageMargins left="0.259722222222222" right="0" top="0.379861111111111" bottom="0.1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0" activeCellId="0" sqref="S10:T10"/>
    </sheetView>
  </sheetViews>
  <sheetFormatPr defaultColWidth="14.38671875" defaultRowHeight="9.75" customHeight="true" zeroHeight="true" outlineLevelRow="0" outlineLevelCol="0"/>
  <cols>
    <col collapsed="false" customWidth="true" hidden="false" outlineLevel="0" max="1" min="1" style="1" width="1.99"/>
    <col collapsed="false" customWidth="true" hidden="false" outlineLevel="0" max="2" min="2" style="2" width="6.5"/>
    <col collapsed="false" customWidth="true" hidden="false" outlineLevel="0" max="3" min="3" style="2" width="4.82"/>
    <col collapsed="false" customWidth="true" hidden="false" outlineLevel="0" max="4" min="4" style="2" width="5.33"/>
    <col collapsed="false" customWidth="true" hidden="false" outlineLevel="0" max="5" min="5" style="2" width="9.65"/>
    <col collapsed="false" customWidth="true" hidden="false" outlineLevel="0" max="6" min="6" style="2" width="14.82"/>
    <col collapsed="false" customWidth="true" hidden="false" outlineLevel="0" max="8" min="7" style="2" width="8.33"/>
    <col collapsed="false" customWidth="true" hidden="false" outlineLevel="0" max="9" min="9" style="2" width="2.82"/>
    <col collapsed="false" customWidth="true" hidden="false" outlineLevel="0" max="11" min="10" style="2" width="9.82"/>
    <col collapsed="false" customWidth="true" hidden="false" outlineLevel="0" max="12" min="12" style="2" width="5.99"/>
    <col collapsed="false" customWidth="true" hidden="false" outlineLevel="0" max="13" min="13" style="2" width="9.49"/>
    <col collapsed="false" customWidth="true" hidden="false" outlineLevel="0" max="14" min="14" style="2" width="25.49"/>
    <col collapsed="false" customWidth="true" hidden="false" outlineLevel="0" max="15" min="15" style="2" width="4.5"/>
    <col collapsed="false" customWidth="true" hidden="false" outlineLevel="0" max="16" min="16" style="2" width="3.33"/>
    <col collapsed="false" customWidth="true" hidden="false" outlineLevel="0" max="17" min="17" style="2" width="20.65"/>
    <col collapsed="false" customWidth="true" hidden="false" outlineLevel="0" max="18" min="18" style="2" width="8.5"/>
    <col collapsed="false" customWidth="true" hidden="false" outlineLevel="0" max="19" min="19" style="2" width="15.65"/>
    <col collapsed="false" customWidth="true" hidden="false" outlineLevel="0" max="20" min="20" style="2" width="18.49"/>
    <col collapsed="false" customWidth="true" hidden="false" outlineLevel="0" max="21" min="21" style="2" width="3.33"/>
    <col collapsed="false" customWidth="true" hidden="false" outlineLevel="0" max="22" min="22" style="2" width="22.49"/>
    <col collapsed="false" customWidth="true" hidden="false" outlineLevel="0" max="23" min="23" style="2" width="17.65"/>
    <col collapsed="false" customWidth="true" hidden="false" outlineLevel="0" max="24" min="24" style="2" width="6.16"/>
    <col collapsed="false" customWidth="true" hidden="false" outlineLevel="0" max="25" min="25" style="2" width="1.32"/>
    <col collapsed="false" customWidth="true" hidden="true" outlineLevel="0" max="26" min="26" style="1" width="11.49"/>
    <col collapsed="false" customWidth="true" hidden="true" outlineLevel="0" max="27" min="27" style="1" width="13.65"/>
    <col collapsed="false" customWidth="true" hidden="true" outlineLevel="0" max="28" min="28" style="1" width="11.49"/>
    <col collapsed="false" customWidth="true" hidden="true" outlineLevel="0" max="29" min="29" style="1" width="7.33"/>
    <col collapsed="false" customWidth="true" hidden="true" outlineLevel="0" max="30" min="30" style="1" width="12.65"/>
    <col collapsed="false" customWidth="true" hidden="true" outlineLevel="0" max="31" min="31" style="1" width="10.99"/>
    <col collapsed="false" customWidth="true" hidden="true" outlineLevel="0" max="32" min="32" style="1" width="11.99"/>
    <col collapsed="false" customWidth="true" hidden="true" outlineLevel="0" max="37" min="33" style="1" width="7.33"/>
    <col collapsed="false" customWidth="true" hidden="true" outlineLevel="0" max="38" min="38" style="1" width="5.82"/>
    <col collapsed="false" customWidth="true" hidden="true" outlineLevel="0" max="39" min="39" style="1" width="29.82"/>
    <col collapsed="false" customWidth="true" hidden="true" outlineLevel="0" max="40" min="40" style="1" width="2.65"/>
    <col collapsed="false" customWidth="false" hidden="true" outlineLevel="0" max="257" min="41" style="2" width="14.38"/>
    <col collapsed="false" customWidth="false" hidden="true" outlineLevel="0" max="16384" min="258" style="0" width="14.38"/>
  </cols>
  <sheetData>
    <row r="1" customFormat="false" ht="4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B2" s="1"/>
      <c r="C2" s="1"/>
      <c r="D2" s="1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</row>
    <row r="3" customFormat="false" ht="14.25" hidden="false" customHeight="true" outlineLevel="0" collapsed="false">
      <c r="B3" s="1"/>
      <c r="C3" s="1"/>
      <c r="D3" s="1"/>
      <c r="E3" s="4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32.25" hidden="false" customHeight="true" outlineLevel="0" collapsed="false">
      <c r="B4" s="1"/>
      <c r="C4" s="5"/>
      <c r="D4" s="1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7"/>
      <c r="W4" s="7"/>
      <c r="X4" s="7"/>
      <c r="Y4" s="1"/>
    </row>
    <row r="5" customFormat="false" ht="14.25" hidden="false" customHeight="true" outlineLevel="0" collapsed="false">
      <c r="B5" s="8" t="s">
        <v>2</v>
      </c>
      <c r="C5" s="9" t="s">
        <v>3</v>
      </c>
      <c r="D5" s="9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"/>
      <c r="Z5" s="1" t="n">
        <f aca="false">IF(V14=0,1,2)</f>
        <v>1</v>
      </c>
      <c r="AN5" s="2"/>
    </row>
    <row r="6" customFormat="false" ht="15.75" hidden="false" customHeight="true" outlineLevel="0" collapsed="false">
      <c r="B6" s="13"/>
      <c r="C6" s="14" t="s">
        <v>4</v>
      </c>
      <c r="D6" s="14"/>
      <c r="E6" s="14"/>
      <c r="F6" s="15"/>
      <c r="G6" s="15"/>
      <c r="H6" s="15"/>
      <c r="I6" s="16" t="s">
        <v>5</v>
      </c>
      <c r="J6" s="15"/>
      <c r="K6" s="15"/>
      <c r="L6" s="15"/>
      <c r="M6" s="15"/>
      <c r="O6" s="15"/>
      <c r="P6" s="16" t="s">
        <v>6</v>
      </c>
      <c r="Q6" s="16"/>
      <c r="R6" s="17"/>
      <c r="S6" s="17"/>
      <c r="T6" s="17"/>
      <c r="U6" s="17"/>
      <c r="V6" s="17"/>
      <c r="W6" s="17"/>
      <c r="X6" s="18"/>
      <c r="Y6" s="1"/>
      <c r="AN6" s="2"/>
    </row>
    <row r="7" customFormat="false" ht="16.5" hidden="false" customHeight="true" outlineLevel="0" collapsed="false">
      <c r="B7" s="19"/>
      <c r="D7" s="20"/>
      <c r="E7" s="20"/>
      <c r="F7" s="20"/>
      <c r="G7" s="20"/>
      <c r="H7" s="15"/>
      <c r="I7" s="21"/>
      <c r="J7" s="21"/>
      <c r="K7" s="21"/>
      <c r="L7" s="21"/>
      <c r="M7" s="21"/>
      <c r="N7" s="21"/>
      <c r="O7" s="15"/>
      <c r="P7" s="21"/>
      <c r="Q7" s="21"/>
      <c r="R7" s="21"/>
      <c r="S7" s="21"/>
      <c r="T7" s="21"/>
      <c r="U7" s="21"/>
      <c r="V7" s="21"/>
      <c r="W7" s="121"/>
      <c r="X7" s="18"/>
      <c r="Y7" s="1"/>
      <c r="AN7" s="2"/>
    </row>
    <row r="8" customFormat="false" ht="6" hidden="false" customHeight="true" outlineLevel="0" collapsed="false">
      <c r="B8" s="19"/>
      <c r="C8" s="15"/>
      <c r="D8" s="15"/>
      <c r="E8" s="22"/>
      <c r="F8" s="22"/>
      <c r="G8" s="22"/>
      <c r="H8" s="15"/>
      <c r="I8" s="15"/>
      <c r="J8" s="15"/>
      <c r="K8" s="15"/>
      <c r="L8" s="23"/>
      <c r="M8" s="23"/>
      <c r="N8" s="23"/>
      <c r="O8" s="24"/>
      <c r="P8" s="23"/>
      <c r="Q8" s="23"/>
      <c r="R8" s="23"/>
      <c r="S8" s="23"/>
      <c r="T8" s="23"/>
      <c r="U8" s="23"/>
      <c r="V8" s="23"/>
      <c r="W8" s="23"/>
      <c r="X8" s="25"/>
      <c r="Y8" s="1"/>
      <c r="AN8" s="2"/>
    </row>
    <row r="9" customFormat="false" ht="14.25" hidden="false" customHeight="true" outlineLevel="0" collapsed="false">
      <c r="B9" s="19"/>
      <c r="D9" s="26" t="s">
        <v>7</v>
      </c>
      <c r="E9" s="26"/>
      <c r="F9" s="26"/>
      <c r="G9" s="16"/>
      <c r="H9" s="1"/>
      <c r="I9" s="1"/>
      <c r="J9" s="1"/>
      <c r="K9" s="1"/>
      <c r="L9" s="1"/>
      <c r="M9" s="27" t="s">
        <v>8</v>
      </c>
      <c r="N9" s="27"/>
      <c r="O9" s="24"/>
      <c r="P9" s="28" t="s">
        <v>9</v>
      </c>
      <c r="Q9" s="1"/>
      <c r="R9" s="17"/>
      <c r="S9" s="29" t="s">
        <v>10</v>
      </c>
      <c r="T9" s="1"/>
      <c r="U9" s="1"/>
      <c r="V9" s="122" t="s">
        <v>11</v>
      </c>
      <c r="W9" s="122"/>
      <c r="X9" s="25"/>
      <c r="Y9" s="1"/>
      <c r="AN9" s="2"/>
    </row>
    <row r="10" customFormat="false" ht="16.5" hidden="false" customHeight="true" outlineLevel="0" collapsed="false">
      <c r="B10" s="19"/>
      <c r="C10" s="15"/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3"/>
      <c r="O10" s="24"/>
      <c r="P10" s="34"/>
      <c r="Q10" s="34"/>
      <c r="R10" s="15"/>
      <c r="S10" s="35"/>
      <c r="T10" s="35"/>
      <c r="U10" s="36"/>
      <c r="V10" s="123"/>
      <c r="W10" s="123"/>
      <c r="X10" s="25"/>
      <c r="Y10" s="1"/>
      <c r="AN10" s="2"/>
    </row>
    <row r="11" customFormat="false" ht="6" hidden="false" customHeight="true" outlineLevel="0" collapsed="false">
      <c r="B11" s="38"/>
      <c r="C11" s="39"/>
      <c r="D11" s="40"/>
      <c r="E11" s="40"/>
      <c r="F11" s="40"/>
      <c r="G11" s="40"/>
      <c r="H11" s="40"/>
      <c r="I11" s="40"/>
      <c r="J11" s="41"/>
      <c r="K11" s="41"/>
      <c r="L11" s="41"/>
      <c r="M11" s="40"/>
      <c r="N11" s="40"/>
      <c r="O11" s="40"/>
      <c r="P11" s="40"/>
      <c r="Q11" s="40"/>
      <c r="R11" s="40"/>
      <c r="S11" s="40"/>
      <c r="T11" s="40"/>
      <c r="U11" s="40"/>
      <c r="V11" s="42"/>
      <c r="W11" s="42"/>
      <c r="X11" s="43"/>
      <c r="Y11" s="1"/>
      <c r="AN11" s="2"/>
    </row>
    <row r="12" customFormat="false" ht="6.75" hidden="false" customHeight="true" outlineLevel="0" collapsed="false">
      <c r="B12" s="1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1"/>
      <c r="Y12" s="1"/>
    </row>
    <row r="13" customFormat="false" ht="15.75" hidden="false" customHeight="true" outlineLevel="0" collapsed="false">
      <c r="B13" s="124" t="s">
        <v>12</v>
      </c>
      <c r="C13" s="90" t="s">
        <v>102</v>
      </c>
      <c r="D13" s="90"/>
      <c r="E13" s="90"/>
      <c r="F13" s="90"/>
      <c r="G13" s="125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7" t="s">
        <v>15</v>
      </c>
      <c r="W13" s="127"/>
      <c r="X13" s="127"/>
      <c r="Y13" s="1"/>
    </row>
    <row r="14" customFormat="false" ht="15.75" hidden="false" customHeight="true" outlineLevel="0" collapsed="false">
      <c r="B14" s="128" t="n">
        <v>1</v>
      </c>
      <c r="C14" s="129" t="s">
        <v>103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30" t="s">
        <v>17</v>
      </c>
      <c r="V14" s="131" t="n">
        <f aca="false">'Anexo A'!W25</f>
        <v>0</v>
      </c>
      <c r="W14" s="131"/>
      <c r="X14" s="131"/>
      <c r="Y14" s="1"/>
    </row>
    <row r="15" customFormat="false" ht="15.75" hidden="false" customHeight="true" outlineLevel="0" collapsed="false">
      <c r="B15" s="132" t="s">
        <v>104</v>
      </c>
      <c r="C15" s="133" t="s">
        <v>105</v>
      </c>
      <c r="D15" s="133"/>
      <c r="E15" s="134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6"/>
      <c r="W15" s="136"/>
      <c r="X15" s="136"/>
      <c r="Y15" s="1"/>
    </row>
    <row r="16" customFormat="false" ht="15.75" hidden="false" customHeight="true" outlineLevel="0" collapsed="false">
      <c r="B16" s="128" t="n">
        <f aca="false">+B14+1</f>
        <v>2</v>
      </c>
      <c r="C16" s="137" t="s">
        <v>106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0" t="s">
        <v>17</v>
      </c>
      <c r="V16" s="138"/>
      <c r="W16" s="138"/>
      <c r="X16" s="138"/>
      <c r="Y16" s="1"/>
    </row>
    <row r="17" customFormat="false" ht="15.75" hidden="false" customHeight="true" outlineLevel="0" collapsed="false">
      <c r="B17" s="128" t="n">
        <f aca="false">+B16+1</f>
        <v>3</v>
      </c>
      <c r="C17" s="129" t="s">
        <v>107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 t="s">
        <v>17</v>
      </c>
      <c r="V17" s="138"/>
      <c r="W17" s="138"/>
      <c r="X17" s="138"/>
      <c r="Y17" s="1"/>
    </row>
    <row r="18" customFormat="false" ht="15.75" hidden="false" customHeight="true" outlineLevel="0" collapsed="false">
      <c r="B18" s="128" t="n">
        <f aca="false">+B17+1</f>
        <v>4</v>
      </c>
      <c r="C18" s="129" t="s">
        <v>108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30" t="s">
        <v>17</v>
      </c>
      <c r="V18" s="138"/>
      <c r="W18" s="138"/>
      <c r="X18" s="138"/>
      <c r="Y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customFormat="false" ht="15.75" hidden="false" customHeight="true" outlineLevel="0" collapsed="false">
      <c r="B19" s="128" t="n">
        <f aca="false">+B18+1</f>
        <v>5</v>
      </c>
      <c r="C19" s="129" t="s">
        <v>109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30" t="s">
        <v>17</v>
      </c>
      <c r="V19" s="138"/>
      <c r="W19" s="138"/>
      <c r="X19" s="138"/>
      <c r="Y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customFormat="false" ht="15.75" hidden="false" customHeight="true" outlineLevel="0" collapsed="false">
      <c r="B20" s="128" t="n">
        <f aca="false">+B19+1</f>
        <v>6</v>
      </c>
      <c r="C20" s="139" t="s">
        <v>110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0" t="s">
        <v>17</v>
      </c>
      <c r="V20" s="140" t="n">
        <f aca="false">'Anexo A'!W60</f>
        <v>0</v>
      </c>
      <c r="W20" s="140"/>
      <c r="X20" s="140"/>
      <c r="Y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customFormat="false" ht="15.75" hidden="false" customHeight="true" outlineLevel="0" collapsed="false">
      <c r="B21" s="128" t="n">
        <f aca="false">+B20+1</f>
        <v>7</v>
      </c>
      <c r="C21" s="139" t="s">
        <v>111</v>
      </c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0" t="s">
        <v>17</v>
      </c>
      <c r="V21" s="140" t="n">
        <f aca="false">'Anexo A'!W66</f>
        <v>0</v>
      </c>
      <c r="W21" s="140"/>
      <c r="X21" s="140"/>
      <c r="Y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customFormat="false" ht="15.75" hidden="false" customHeight="true" outlineLevel="0" collapsed="false">
      <c r="B22" s="128" t="n">
        <f aca="false">+B21+1</f>
        <v>8</v>
      </c>
      <c r="C22" s="141" t="s">
        <v>112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30" t="s">
        <v>17</v>
      </c>
      <c r="V22" s="138"/>
      <c r="W22" s="138"/>
      <c r="X22" s="138"/>
      <c r="Y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customFormat="false" ht="15.75" hidden="false" customHeight="true" outlineLevel="0" collapsed="false">
      <c r="B23" s="128" t="n">
        <f aca="false">+B22+1</f>
        <v>9</v>
      </c>
      <c r="C23" s="142" t="s">
        <v>113</v>
      </c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3" t="s">
        <v>29</v>
      </c>
      <c r="V23" s="144" t="n">
        <f aca="false">ABS(+V16+V17+V18+V19+V20+V21+V22)</f>
        <v>0</v>
      </c>
      <c r="W23" s="144"/>
      <c r="X23" s="144"/>
      <c r="Y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customFormat="false" ht="15.75" hidden="false" customHeight="true" outlineLevel="0" collapsed="false">
      <c r="B24" s="132" t="s">
        <v>114</v>
      </c>
      <c r="C24" s="133" t="s">
        <v>115</v>
      </c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36"/>
      <c r="X24" s="136"/>
      <c r="Y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customFormat="false" ht="15.75" hidden="false" customHeight="true" outlineLevel="0" collapsed="false">
      <c r="B25" s="145" t="n">
        <f aca="false">+B23+1</f>
        <v>10</v>
      </c>
      <c r="C25" s="146" t="s">
        <v>116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7" t="s">
        <v>29</v>
      </c>
      <c r="V25" s="148" t="n">
        <f aca="false">ABS(IF((V14-V23)&gt;0,ABS((V14-V23)),0))</f>
        <v>0</v>
      </c>
      <c r="W25" s="148"/>
      <c r="X25" s="148"/>
      <c r="Y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customFormat="false" ht="15.75" hidden="false" customHeight="true" outlineLevel="0" collapsed="false">
      <c r="B26" s="128" t="n">
        <f aca="false">+B25+1</f>
        <v>11</v>
      </c>
      <c r="C26" s="129" t="s">
        <v>117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30" t="s">
        <v>29</v>
      </c>
      <c r="V26" s="138"/>
      <c r="W26" s="138"/>
      <c r="X26" s="138"/>
      <c r="Y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customFormat="false" ht="15.75" hidden="false" customHeight="true" outlineLevel="0" collapsed="false">
      <c r="B27" s="149" t="n">
        <f aca="false">+B26+1</f>
        <v>12</v>
      </c>
      <c r="C27" s="129" t="s">
        <v>118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 t="s">
        <v>29</v>
      </c>
      <c r="V27" s="150"/>
      <c r="W27" s="150"/>
      <c r="X27" s="150"/>
      <c r="Y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customFormat="false" ht="15.75" hidden="false" customHeight="true" outlineLevel="0" collapsed="false">
      <c r="B28" s="149" t="n">
        <f aca="false">+B27+1</f>
        <v>13</v>
      </c>
      <c r="C28" s="129" t="s">
        <v>119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92" t="s">
        <v>29</v>
      </c>
      <c r="V28" s="138"/>
      <c r="W28" s="138"/>
      <c r="X28" s="138"/>
      <c r="Y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customFormat="false" ht="15.75" hidden="false" customHeight="true" outlineLevel="0" collapsed="false">
      <c r="B29" s="151" t="n">
        <f aca="false">+B28+1</f>
        <v>14</v>
      </c>
      <c r="C29" s="129" t="s">
        <v>120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92" t="s">
        <v>29</v>
      </c>
      <c r="V29" s="138"/>
      <c r="W29" s="138"/>
      <c r="X29" s="138"/>
      <c r="Y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customFormat="false" ht="15.75" hidden="false" customHeight="true" outlineLevel="0" collapsed="false">
      <c r="B30" s="152" t="n">
        <f aca="false">+B29+1</f>
        <v>15</v>
      </c>
      <c r="C30" s="153" t="s">
        <v>121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 t="s">
        <v>29</v>
      </c>
      <c r="V30" s="155"/>
      <c r="W30" s="155"/>
      <c r="X30" s="155"/>
      <c r="Y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customFormat="false" ht="15" hidden="false" customHeight="true" outlineLevel="0" collapsed="false">
      <c r="B31" s="156" t="str">
        <f aca="false">IF((V26+V27+V28+V29+V30)&lt;&gt;V25,"La sumatoria de las casillas 11+12+13+14+15 debe ser igual al valor de la casilla 10.","")</f>
        <v/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7"/>
      <c r="W31" s="157"/>
      <c r="X31" s="1"/>
      <c r="Y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customFormat="false" ht="15.75" hidden="false" customHeight="true" outlineLevel="0" collapsed="false">
      <c r="B32" s="124" t="s">
        <v>30</v>
      </c>
      <c r="C32" s="90" t="s">
        <v>122</v>
      </c>
      <c r="D32" s="90"/>
      <c r="E32" s="125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7" t="s">
        <v>15</v>
      </c>
      <c r="W32" s="127"/>
      <c r="X32" s="127"/>
      <c r="Y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customFormat="false" ht="15.75" hidden="false" customHeight="true" outlineLevel="0" collapsed="false">
      <c r="B33" s="149" t="n">
        <f aca="false">B30+1</f>
        <v>16</v>
      </c>
      <c r="C33" s="129" t="s">
        <v>123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92" t="s">
        <v>17</v>
      </c>
      <c r="V33" s="158" t="n">
        <f aca="false">ABS(+V26*18%)</f>
        <v>0</v>
      </c>
      <c r="W33" s="158"/>
      <c r="X33" s="158"/>
      <c r="Y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customFormat="false" ht="15.75" hidden="false" customHeight="true" outlineLevel="0" collapsed="false">
      <c r="B34" s="149" t="n">
        <f aca="false">+B33+1</f>
        <v>17</v>
      </c>
      <c r="C34" s="129" t="s">
        <v>124</v>
      </c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92" t="s">
        <v>17</v>
      </c>
      <c r="V34" s="158" t="n">
        <f aca="false">ABS(+V27*16%)</f>
        <v>0</v>
      </c>
      <c r="W34" s="158"/>
      <c r="X34" s="158"/>
      <c r="Y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15.75" hidden="false" customHeight="true" outlineLevel="0" collapsed="false">
      <c r="B35" s="149" t="n">
        <f aca="false">+B34+1</f>
        <v>18</v>
      </c>
      <c r="C35" s="129" t="s">
        <v>125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92" t="s">
        <v>17</v>
      </c>
      <c r="V35" s="158" t="n">
        <f aca="false">ABS(V28*9%)</f>
        <v>0</v>
      </c>
      <c r="W35" s="158"/>
      <c r="X35" s="158"/>
      <c r="Y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15.75" hidden="false" customHeight="true" outlineLevel="0" collapsed="false">
      <c r="B36" s="149" t="n">
        <f aca="false">+B35+1</f>
        <v>19</v>
      </c>
      <c r="C36" s="129" t="s">
        <v>126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92" t="s">
        <v>17</v>
      </c>
      <c r="V36" s="158" t="n">
        <f aca="false">ABS(V29*8%)</f>
        <v>0</v>
      </c>
      <c r="W36" s="158"/>
      <c r="X36" s="158"/>
      <c r="Y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5.75" hidden="false" customHeight="true" outlineLevel="0" collapsed="false">
      <c r="B37" s="149" t="n">
        <f aca="false">+B36+1</f>
        <v>20</v>
      </c>
      <c r="C37" s="129" t="s">
        <v>127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92" t="s">
        <v>17</v>
      </c>
      <c r="V37" s="158" t="n">
        <f aca="false">ABS(+V30*18%)</f>
        <v>0</v>
      </c>
      <c r="W37" s="158"/>
      <c r="X37" s="158"/>
      <c r="Y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5.75" hidden="false" customHeight="true" outlineLevel="0" collapsed="false">
      <c r="B38" s="149" t="n">
        <f aca="false">+B37+1</f>
        <v>21</v>
      </c>
      <c r="C38" s="146" t="s">
        <v>128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92" t="s">
        <v>29</v>
      </c>
      <c r="V38" s="144" t="n">
        <f aca="false">ABS(V33+V34+V35+V36+V37)</f>
        <v>0</v>
      </c>
      <c r="W38" s="144"/>
      <c r="X38" s="144"/>
      <c r="Y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5.75" hidden="false" customHeight="true" outlineLevel="0" collapsed="false">
      <c r="B39" s="128" t="n">
        <f aca="false">+B38+1</f>
        <v>22</v>
      </c>
      <c r="C39" s="129" t="s">
        <v>129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92" t="s">
        <v>17</v>
      </c>
      <c r="V39" s="159" t="n">
        <f aca="false">+'Anexo A'!O87</f>
        <v>0</v>
      </c>
      <c r="W39" s="159"/>
      <c r="X39" s="159"/>
      <c r="Y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customFormat="false" ht="15.75" hidden="false" customHeight="true" outlineLevel="0" collapsed="false">
      <c r="B40" s="128" t="n">
        <f aca="false">+B39+1</f>
        <v>23</v>
      </c>
      <c r="C40" s="141" t="s">
        <v>130</v>
      </c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92" t="s">
        <v>17</v>
      </c>
      <c r="V40" s="159" t="n">
        <f aca="false">+'Anexo A'!P87</f>
        <v>0</v>
      </c>
      <c r="W40" s="159"/>
      <c r="X40" s="159"/>
      <c r="Y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customFormat="false" ht="15.75" hidden="false" customHeight="true" outlineLevel="0" collapsed="false">
      <c r="B41" s="128" t="n">
        <f aca="false">+B40+1</f>
        <v>24</v>
      </c>
      <c r="C41" s="129" t="s">
        <v>131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92" t="s">
        <v>17</v>
      </c>
      <c r="V41" s="159" t="n">
        <f aca="false">+'Anexo A'!T87</f>
        <v>0</v>
      </c>
      <c r="W41" s="159"/>
      <c r="X41" s="159"/>
      <c r="Y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customFormat="false" ht="15.75" hidden="false" customHeight="true" outlineLevel="0" collapsed="false">
      <c r="B42" s="128" t="n">
        <f aca="false">+B41+1</f>
        <v>25</v>
      </c>
      <c r="C42" s="146" t="s">
        <v>132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92" t="s">
        <v>29</v>
      </c>
      <c r="V42" s="144" t="n">
        <f aca="false">ABS(V39+V40+V41)</f>
        <v>0</v>
      </c>
      <c r="W42" s="144"/>
      <c r="X42" s="144"/>
      <c r="Y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customFormat="false" ht="15.75" hidden="false" customHeight="true" outlineLevel="0" collapsed="false">
      <c r="B43" s="128" t="n">
        <f aca="false">+B42+1</f>
        <v>26</v>
      </c>
      <c r="C43" s="146" t="s">
        <v>133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92" t="s">
        <v>29</v>
      </c>
      <c r="V43" s="144" t="n">
        <f aca="false">ABS(IF((V38-V42)&gt;0,((V38-V42)),0))</f>
        <v>0</v>
      </c>
      <c r="W43" s="144"/>
      <c r="X43" s="144"/>
      <c r="Y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customFormat="false" ht="15.75" hidden="false" customHeight="true" outlineLevel="0" collapsed="false">
      <c r="B44" s="128" t="n">
        <f aca="false">+B43+1</f>
        <v>27</v>
      </c>
      <c r="C44" s="146" t="s">
        <v>134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92" t="s">
        <v>29</v>
      </c>
      <c r="V44" s="144" t="n">
        <f aca="false">ABS(IF((V38-V42)&lt;0,(V38-V42),0))</f>
        <v>0</v>
      </c>
      <c r="W44" s="144"/>
      <c r="X44" s="144"/>
      <c r="Y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customFormat="false" ht="15.75" hidden="false" customHeight="true" outlineLevel="0" collapsed="false">
      <c r="B45" s="128" t="n">
        <f aca="false">+B44+1</f>
        <v>28</v>
      </c>
      <c r="C45" s="160" t="s">
        <v>135</v>
      </c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1" t="s">
        <v>136</v>
      </c>
      <c r="V45" s="162"/>
      <c r="W45" s="162"/>
      <c r="X45" s="162"/>
      <c r="Y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customFormat="false" ht="15.75" hidden="false" customHeight="true" outlineLevel="0" collapsed="false">
      <c r="B46" s="128" t="n">
        <f aca="false">+B45+1</f>
        <v>29</v>
      </c>
      <c r="C46" s="129" t="s">
        <v>137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92" t="s">
        <v>21</v>
      </c>
      <c r="V46" s="163"/>
      <c r="W46" s="163"/>
      <c r="X46" s="163"/>
      <c r="Y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customFormat="false" ht="15.75" hidden="false" customHeight="true" outlineLevel="0" collapsed="false">
      <c r="A47" s="164"/>
      <c r="B47" s="128" t="n">
        <f aca="false">+B46+1</f>
        <v>30</v>
      </c>
      <c r="C47" s="165" t="s">
        <v>138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92" t="s">
        <v>21</v>
      </c>
      <c r="V47" s="159" t="n">
        <f aca="false">'Anexo A'!W53</f>
        <v>0</v>
      </c>
      <c r="W47" s="159"/>
      <c r="X47" s="159"/>
      <c r="Y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customFormat="false" ht="15.75" hidden="false" customHeight="true" outlineLevel="0" collapsed="false">
      <c r="A48" s="164"/>
      <c r="B48" s="128" t="n">
        <f aca="false">+B47+1</f>
        <v>31</v>
      </c>
      <c r="C48" s="166" t="s">
        <v>139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92" t="s">
        <v>21</v>
      </c>
      <c r="V48" s="163"/>
      <c r="W48" s="163"/>
      <c r="X48" s="163"/>
      <c r="Y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customFormat="false" ht="15.75" hidden="false" customHeight="true" outlineLevel="0" collapsed="false">
      <c r="A49" s="164"/>
      <c r="B49" s="128" t="n">
        <f aca="false">+B48+1</f>
        <v>32</v>
      </c>
      <c r="C49" s="129" t="s">
        <v>140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92" t="s">
        <v>17</v>
      </c>
      <c r="V49" s="162"/>
      <c r="W49" s="162"/>
      <c r="X49" s="162"/>
      <c r="Y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customFormat="false" ht="15.75" hidden="false" customHeight="true" outlineLevel="0" collapsed="false">
      <c r="B50" s="128" t="n">
        <f aca="false">+B49+1</f>
        <v>33</v>
      </c>
      <c r="C50" s="146" t="s">
        <v>141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92" t="s">
        <v>29</v>
      </c>
      <c r="V50" s="144" t="n">
        <f aca="false">ABS(IF((V43-V45-V46-V47-V48+V49)&gt;0,((V43-V45-V46-V47-V48+V49)),0))</f>
        <v>0</v>
      </c>
      <c r="W50" s="144"/>
      <c r="X50" s="144"/>
      <c r="Y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customFormat="false" ht="16.5" hidden="false" customHeight="true" outlineLevel="0" collapsed="false">
      <c r="B51" s="167" t="n">
        <f aca="false">+B50+1</f>
        <v>34</v>
      </c>
      <c r="C51" s="168" t="s">
        <v>142</v>
      </c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54" t="s">
        <v>29</v>
      </c>
      <c r="V51" s="169" t="n">
        <f aca="false">ABS(IF((V44+V45+V46+V47+V48-V49)&gt;=V43,((V44+V45+V46+V47+V48-V49-V43)),0))</f>
        <v>0</v>
      </c>
      <c r="W51" s="169"/>
      <c r="X51" s="169"/>
      <c r="Y51" s="1"/>
      <c r="AA51" s="53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customFormat="false" ht="3.75" hidden="false" customHeight="true" outlineLevel="0" collapsed="false">
      <c r="B52" s="157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1"/>
      <c r="Y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customFormat="false" ht="15.75" hidden="false" customHeight="true" outlineLevel="0" collapsed="false">
      <c r="B53" s="124" t="s">
        <v>41</v>
      </c>
      <c r="C53" s="90" t="s">
        <v>143</v>
      </c>
      <c r="D53" s="90"/>
      <c r="E53" s="125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72" t="s">
        <v>144</v>
      </c>
      <c r="U53" s="126"/>
      <c r="V53" s="173" t="s">
        <v>15</v>
      </c>
      <c r="W53" s="173"/>
      <c r="X53" s="173"/>
      <c r="Y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customFormat="false" ht="15.75" hidden="false" customHeight="true" outlineLevel="0" collapsed="false">
      <c r="B54" s="128" t="n">
        <f aca="false">+B51+1</f>
        <v>35</v>
      </c>
      <c r="C54" s="166" t="s">
        <v>145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74"/>
      <c r="U54" s="92" t="s">
        <v>17</v>
      </c>
      <c r="V54" s="159" t="n">
        <f aca="false">ABS(+V50*T54)</f>
        <v>0</v>
      </c>
      <c r="W54" s="159"/>
      <c r="X54" s="159"/>
      <c r="Y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customFormat="false" ht="15.75" hidden="false" customHeight="true" outlineLevel="0" collapsed="false">
      <c r="B55" s="128" t="n">
        <f aca="false">+B54+1</f>
        <v>36</v>
      </c>
      <c r="C55" s="166" t="s">
        <v>146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74"/>
      <c r="U55" s="92" t="s">
        <v>17</v>
      </c>
      <c r="V55" s="159" t="n">
        <f aca="false">ABS(+V50*T55)</f>
        <v>0</v>
      </c>
      <c r="W55" s="159"/>
      <c r="X55" s="159"/>
      <c r="Y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customFormat="false" ht="16.5" hidden="false" customHeight="true" outlineLevel="0" collapsed="false">
      <c r="B56" s="175" t="n">
        <f aca="false">+B55+1</f>
        <v>37</v>
      </c>
      <c r="C56" s="176" t="s">
        <v>147</v>
      </c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7" t="s">
        <v>17</v>
      </c>
      <c r="V56" s="178"/>
      <c r="W56" s="178"/>
      <c r="X56" s="178"/>
      <c r="Y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customFormat="false" ht="6" hidden="false" customHeight="true" outlineLevel="0" collapsed="false">
      <c r="B57" s="157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1"/>
      <c r="Y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5.75" hidden="false" customHeight="true" outlineLevel="0" collapsed="false">
      <c r="B58" s="124" t="s">
        <v>50</v>
      </c>
      <c r="C58" s="90" t="s">
        <v>148</v>
      </c>
      <c r="D58" s="90"/>
      <c r="E58" s="125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73" t="s">
        <v>15</v>
      </c>
      <c r="W58" s="173"/>
      <c r="X58" s="173"/>
      <c r="Y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customFormat="false" ht="16.5" hidden="false" customHeight="true" outlineLevel="0" collapsed="false">
      <c r="B59" s="152" t="n">
        <f aca="false">+B56+1</f>
        <v>38</v>
      </c>
      <c r="C59" s="179" t="s">
        <v>149</v>
      </c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54" t="s">
        <v>29</v>
      </c>
      <c r="V59" s="180" t="n">
        <f aca="false">ABS(V50+V54+V55+V56)</f>
        <v>0</v>
      </c>
      <c r="W59" s="180"/>
      <c r="X59" s="180"/>
      <c r="Y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customFormat="false" ht="6.75" hidden="false" customHeight="true" outlineLevel="0" collapsed="false"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"/>
      <c r="Y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customFormat="false" ht="15.75" hidden="false" customHeight="true" outlineLevel="0" collapsed="false">
      <c r="B61" s="124" t="s">
        <v>150</v>
      </c>
      <c r="C61" s="90" t="s">
        <v>151</v>
      </c>
      <c r="D61" s="90"/>
      <c r="E61" s="125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73" t="s">
        <v>15</v>
      </c>
      <c r="W61" s="173"/>
      <c r="X61" s="17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5.75" hidden="false" customHeight="true" outlineLevel="0" collapsed="false">
      <c r="B62" s="149" t="n">
        <f aca="false">B59+1</f>
        <v>39</v>
      </c>
      <c r="C62" s="181" t="s">
        <v>152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92" t="s">
        <v>17</v>
      </c>
      <c r="V62" s="138"/>
      <c r="W62" s="138"/>
      <c r="X62" s="138"/>
      <c r="Y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customFormat="false" ht="15.75" hidden="false" customHeight="true" outlineLevel="0" collapsed="false">
      <c r="B63" s="149" t="n">
        <f aca="false">+B62+1</f>
        <v>40</v>
      </c>
      <c r="C63" s="181" t="s">
        <v>153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92" t="s">
        <v>17</v>
      </c>
      <c r="V63" s="138"/>
      <c r="W63" s="138"/>
      <c r="X63" s="138"/>
      <c r="Y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customFormat="false" ht="15.75" hidden="false" customHeight="true" outlineLevel="0" collapsed="false">
      <c r="B64" s="149" t="n">
        <f aca="false">+B63+1</f>
        <v>41</v>
      </c>
      <c r="C64" s="182" t="s">
        <v>154</v>
      </c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3" t="s">
        <v>29</v>
      </c>
      <c r="V64" s="184" t="n">
        <f aca="false">V62+V63</f>
        <v>0</v>
      </c>
      <c r="W64" s="184"/>
      <c r="X64" s="184"/>
      <c r="Y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customFormat="false" ht="15.75" hidden="false" customHeight="true" outlineLevel="0" collapsed="false">
      <c r="B65" s="149" t="n">
        <f aca="false">+B64+1</f>
        <v>42</v>
      </c>
      <c r="C65" s="166" t="s">
        <v>155</v>
      </c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85" t="s">
        <v>29</v>
      </c>
      <c r="V65" s="138"/>
      <c r="W65" s="138"/>
      <c r="X65" s="138"/>
      <c r="Y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customFormat="false" ht="15.75" hidden="false" customHeight="true" outlineLevel="0" collapsed="false">
      <c r="B66" s="149" t="n">
        <f aca="false">+B65+1</f>
        <v>43</v>
      </c>
      <c r="C66" s="166" t="s">
        <v>156</v>
      </c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92" t="s">
        <v>29</v>
      </c>
      <c r="V66" s="138"/>
      <c r="W66" s="138"/>
      <c r="X66" s="138"/>
      <c r="Y66" s="1"/>
    </row>
    <row r="67" customFormat="false" ht="15.75" hidden="false" customHeight="true" outlineLevel="0" collapsed="false">
      <c r="B67" s="128" t="n">
        <f aca="false">+B66+1</f>
        <v>44</v>
      </c>
      <c r="C67" s="186" t="s">
        <v>157</v>
      </c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92" t="s">
        <v>17</v>
      </c>
      <c r="V67" s="138"/>
      <c r="W67" s="138"/>
      <c r="X67" s="138"/>
      <c r="Y67" s="1"/>
    </row>
    <row r="68" customFormat="false" ht="15.75" hidden="false" customHeight="true" outlineLevel="0" collapsed="false">
      <c r="B68" s="128" t="n">
        <f aca="false">+B67+1</f>
        <v>45</v>
      </c>
      <c r="C68" s="186" t="s">
        <v>158</v>
      </c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3" t="s">
        <v>17</v>
      </c>
      <c r="V68" s="138"/>
      <c r="W68" s="138"/>
      <c r="X68" s="138"/>
      <c r="Y68" s="1"/>
    </row>
    <row r="69" customFormat="false" ht="15.75" hidden="false" customHeight="true" outlineLevel="0" collapsed="false">
      <c r="B69" s="128" t="n">
        <f aca="false">+B68+1</f>
        <v>46</v>
      </c>
      <c r="C69" s="182" t="s">
        <v>159</v>
      </c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3" t="s">
        <v>29</v>
      </c>
      <c r="V69" s="184" t="n">
        <f aca="false">ABS(V67+V68)</f>
        <v>0</v>
      </c>
      <c r="W69" s="184"/>
      <c r="X69" s="184"/>
      <c r="Y69" s="1"/>
    </row>
    <row r="70" customFormat="false" ht="15.75" hidden="false" customHeight="true" outlineLevel="0" collapsed="false">
      <c r="B70" s="149" t="n">
        <f aca="false">+B69+1</f>
        <v>47</v>
      </c>
      <c r="C70" s="187" t="s">
        <v>160</v>
      </c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3" t="s">
        <v>17</v>
      </c>
      <c r="V70" s="163"/>
      <c r="W70" s="163"/>
      <c r="X70" s="163"/>
      <c r="Y70" s="1"/>
    </row>
    <row r="71" customFormat="false" ht="15.75" hidden="false" customHeight="true" outlineLevel="0" collapsed="false">
      <c r="B71" s="149" t="n">
        <f aca="false">+B70+1</f>
        <v>48</v>
      </c>
      <c r="C71" s="187" t="s">
        <v>161</v>
      </c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3" t="s">
        <v>17</v>
      </c>
      <c r="V71" s="163"/>
      <c r="W71" s="163"/>
      <c r="X71" s="163"/>
      <c r="Y71" s="1"/>
    </row>
    <row r="72" customFormat="false" ht="15.75" hidden="false" customHeight="true" outlineLevel="0" collapsed="false">
      <c r="B72" s="149" t="n">
        <f aca="false">+B71+1</f>
        <v>49</v>
      </c>
      <c r="C72" s="188" t="s">
        <v>162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3" t="s">
        <v>29</v>
      </c>
      <c r="V72" s="189" t="n">
        <f aca="false">ABS(V70+V71)</f>
        <v>0</v>
      </c>
      <c r="W72" s="189"/>
      <c r="X72" s="189"/>
      <c r="Y72" s="1"/>
    </row>
    <row r="73" customFormat="false" ht="15.75" hidden="false" customHeight="true" outlineLevel="0" collapsed="false">
      <c r="B73" s="149" t="n">
        <f aca="false">+B72+1</f>
        <v>50</v>
      </c>
      <c r="C73" s="186" t="s">
        <v>163</v>
      </c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3" t="s">
        <v>17</v>
      </c>
      <c r="V73" s="140" t="n">
        <f aca="false">ABS(V64*18%)</f>
        <v>0</v>
      </c>
      <c r="W73" s="140"/>
      <c r="X73" s="140"/>
      <c r="Y73" s="1"/>
    </row>
    <row r="74" customFormat="false" ht="15.75" hidden="false" customHeight="true" outlineLevel="0" collapsed="false">
      <c r="B74" s="149" t="n">
        <f aca="false">+B73+1</f>
        <v>51</v>
      </c>
      <c r="C74" s="190" t="s">
        <v>164</v>
      </c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83" t="s">
        <v>17</v>
      </c>
      <c r="V74" s="140" t="n">
        <f aca="false">ABS(V65*18%)</f>
        <v>0</v>
      </c>
      <c r="W74" s="140"/>
      <c r="X74" s="140"/>
      <c r="Y74" s="1"/>
    </row>
    <row r="75" customFormat="false" ht="15.75" hidden="false" customHeight="true" outlineLevel="0" collapsed="false">
      <c r="B75" s="149" t="n">
        <f aca="false">+B74+1</f>
        <v>52</v>
      </c>
      <c r="C75" s="186" t="s">
        <v>165</v>
      </c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3" t="s">
        <v>17</v>
      </c>
      <c r="V75" s="140" t="n">
        <f aca="false">ABS(V66*18%)*0.3</f>
        <v>0</v>
      </c>
      <c r="W75" s="140"/>
      <c r="X75" s="140"/>
      <c r="Y75" s="1"/>
    </row>
    <row r="76" customFormat="false" ht="15.75" hidden="false" customHeight="true" outlineLevel="0" collapsed="false">
      <c r="B76" s="149" t="n">
        <f aca="false">+B75+1</f>
        <v>53</v>
      </c>
      <c r="C76" s="166" t="s">
        <v>166</v>
      </c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83" t="s">
        <v>17</v>
      </c>
      <c r="V76" s="140" t="n">
        <f aca="false">ABS(V67*18%)</f>
        <v>0</v>
      </c>
      <c r="W76" s="140"/>
      <c r="X76" s="140"/>
      <c r="Y76" s="1"/>
    </row>
    <row r="77" customFormat="false" ht="15.75" hidden="false" customHeight="true" outlineLevel="0" collapsed="false">
      <c r="B77" s="149" t="n">
        <f aca="false">+B76+1</f>
        <v>54</v>
      </c>
      <c r="C77" s="166" t="s">
        <v>167</v>
      </c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83" t="s">
        <v>17</v>
      </c>
      <c r="V77" s="140" t="n">
        <f aca="false">ABS(V68*16%)</f>
        <v>0</v>
      </c>
      <c r="W77" s="140"/>
      <c r="X77" s="140"/>
      <c r="Y77" s="1"/>
    </row>
    <row r="78" customFormat="false" ht="15.75" hidden="false" customHeight="true" outlineLevel="0" collapsed="false">
      <c r="B78" s="149" t="n">
        <f aca="false">+B77+1</f>
        <v>55</v>
      </c>
      <c r="C78" s="142" t="s">
        <v>168</v>
      </c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83" t="s">
        <v>29</v>
      </c>
      <c r="V78" s="184" t="n">
        <f aca="false">ABS(V76+V77)</f>
        <v>0</v>
      </c>
      <c r="W78" s="184"/>
      <c r="X78" s="184"/>
      <c r="Y78" s="1"/>
    </row>
    <row r="79" customFormat="false" ht="15.75" hidden="false" customHeight="true" outlineLevel="0" collapsed="false">
      <c r="B79" s="149" t="n">
        <f aca="false">+B78+1</f>
        <v>56</v>
      </c>
      <c r="C79" s="191" t="s">
        <v>169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83" t="s">
        <v>17</v>
      </c>
      <c r="V79" s="159" t="n">
        <f aca="false">V70*18%</f>
        <v>0</v>
      </c>
      <c r="W79" s="159"/>
      <c r="X79" s="159"/>
      <c r="Y79" s="1"/>
    </row>
    <row r="80" customFormat="false" ht="15.75" hidden="false" customHeight="true" outlineLevel="0" collapsed="false">
      <c r="B80" s="149" t="n">
        <f aca="false">+B79+1</f>
        <v>57</v>
      </c>
      <c r="C80" s="187" t="s">
        <v>170</v>
      </c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3" t="s">
        <v>17</v>
      </c>
      <c r="V80" s="159" t="n">
        <f aca="false">V71*16%</f>
        <v>0</v>
      </c>
      <c r="W80" s="159"/>
      <c r="X80" s="159"/>
      <c r="Y80" s="1"/>
    </row>
    <row r="81" customFormat="false" ht="15.75" hidden="false" customHeight="true" outlineLevel="0" collapsed="false">
      <c r="B81" s="149" t="n">
        <f aca="false">+B80+1</f>
        <v>58</v>
      </c>
      <c r="C81" s="192" t="s">
        <v>171</v>
      </c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83" t="s">
        <v>29</v>
      </c>
      <c r="V81" s="189" t="n">
        <f aca="false">ABS(V79+V80)</f>
        <v>0</v>
      </c>
      <c r="W81" s="189"/>
      <c r="X81" s="189"/>
      <c r="Y81" s="1"/>
    </row>
    <row r="82" customFormat="false" ht="15.75" hidden="false" customHeight="true" outlineLevel="0" collapsed="false">
      <c r="B82" s="149" t="n">
        <f aca="false">+B81+1</f>
        <v>59</v>
      </c>
      <c r="C82" s="142" t="s">
        <v>172</v>
      </c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83" t="s">
        <v>29</v>
      </c>
      <c r="V82" s="193"/>
      <c r="W82" s="193"/>
      <c r="X82" s="193"/>
      <c r="Y82" s="1"/>
    </row>
    <row r="83" customFormat="false" ht="15.75" hidden="false" customHeight="true" outlineLevel="0" collapsed="false">
      <c r="B83" s="149" t="n">
        <f aca="false">+B82+1</f>
        <v>60</v>
      </c>
      <c r="C83" s="194" t="s">
        <v>173</v>
      </c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83" t="s">
        <v>29</v>
      </c>
      <c r="V83" s="184" t="n">
        <f aca="false">ABS(V73+V74+V75+V78+V81+V82)</f>
        <v>0</v>
      </c>
      <c r="W83" s="184"/>
      <c r="X83" s="184"/>
      <c r="Y83" s="1"/>
    </row>
    <row r="84" customFormat="false" ht="15.75" hidden="false" customHeight="true" outlineLevel="0" collapsed="false">
      <c r="B84" s="149" t="n">
        <f aca="false">+B83+1</f>
        <v>61</v>
      </c>
      <c r="C84" s="166" t="s">
        <v>174</v>
      </c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83" t="s">
        <v>21</v>
      </c>
      <c r="V84" s="138"/>
      <c r="W84" s="138"/>
      <c r="X84" s="138"/>
      <c r="Y84" s="1"/>
    </row>
    <row r="85" customFormat="false" ht="15.75" hidden="false" customHeight="true" outlineLevel="0" collapsed="false">
      <c r="B85" s="149" t="n">
        <f aca="false">+B84+1</f>
        <v>62</v>
      </c>
      <c r="C85" s="142" t="s">
        <v>175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83" t="s">
        <v>29</v>
      </c>
      <c r="V85" s="184" t="n">
        <f aca="false">IF((V83-V84)&gt;0,ABS((V83-V84)),0)</f>
        <v>0</v>
      </c>
      <c r="W85" s="184"/>
      <c r="X85" s="184"/>
      <c r="Y85" s="1"/>
    </row>
    <row r="86" customFormat="false" ht="18" hidden="false" customHeight="true" outlineLevel="0" collapsed="false">
      <c r="B86" s="149" t="n">
        <f aca="false">+B85+1</f>
        <v>63</v>
      </c>
      <c r="C86" s="195" t="s">
        <v>176</v>
      </c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6" t="s">
        <v>29</v>
      </c>
      <c r="V86" s="197" t="n">
        <f aca="false">IF((V83-V84)&lt;0,ABS((V83-V84)),0)</f>
        <v>0</v>
      </c>
      <c r="W86" s="197"/>
      <c r="X86" s="197"/>
      <c r="Y86" s="1"/>
    </row>
    <row r="87" customFormat="false" ht="15.75" hidden="false" customHeight="true" outlineLevel="0" collapsed="false">
      <c r="B87" s="198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8"/>
      <c r="V87" s="198"/>
      <c r="W87" s="198"/>
      <c r="X87" s="1"/>
      <c r="Y87" s="1"/>
    </row>
    <row r="88" customFormat="false" ht="15.75" hidden="false" customHeight="true" outlineLevel="0" collapsed="false">
      <c r="B88" s="200" t="s">
        <v>177</v>
      </c>
      <c r="C88" s="90" t="s">
        <v>143</v>
      </c>
      <c r="D88" s="90"/>
      <c r="E88" s="125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72"/>
      <c r="S88" s="126"/>
      <c r="T88" s="172" t="s">
        <v>144</v>
      </c>
      <c r="U88" s="126"/>
      <c r="V88" s="201" t="s">
        <v>15</v>
      </c>
      <c r="W88" s="201"/>
      <c r="X88" s="201"/>
      <c r="Y88" s="1"/>
    </row>
    <row r="89" customFormat="false" ht="15.75" hidden="false" customHeight="true" outlineLevel="0" collapsed="false">
      <c r="B89" s="202" t="n">
        <f aca="false">+B86+1</f>
        <v>64</v>
      </c>
      <c r="C89" s="166" t="s">
        <v>145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74"/>
      <c r="U89" s="203" t="s">
        <v>17</v>
      </c>
      <c r="V89" s="140" t="n">
        <f aca="false">ABS(V85*T89)</f>
        <v>0</v>
      </c>
      <c r="W89" s="140"/>
      <c r="X89" s="140"/>
      <c r="Y89" s="1"/>
    </row>
    <row r="90" customFormat="false" ht="15.75" hidden="false" customHeight="true" outlineLevel="0" collapsed="false">
      <c r="B90" s="202" t="n">
        <f aca="false">+B89+1</f>
        <v>65</v>
      </c>
      <c r="C90" s="166" t="s">
        <v>146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74"/>
      <c r="U90" s="130" t="s">
        <v>17</v>
      </c>
      <c r="V90" s="140" t="n">
        <f aca="false">ABS(V85*T90)</f>
        <v>0</v>
      </c>
      <c r="W90" s="140"/>
      <c r="X90" s="140"/>
      <c r="Y90" s="1"/>
    </row>
    <row r="91" customFormat="false" ht="15" hidden="false" customHeight="true" outlineLevel="0" collapsed="false">
      <c r="B91" s="204" t="n">
        <f aca="false">+B90+1</f>
        <v>66</v>
      </c>
      <c r="C91" s="176" t="s">
        <v>147</v>
      </c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205" t="s">
        <v>17</v>
      </c>
      <c r="V91" s="206"/>
      <c r="W91" s="206"/>
      <c r="X91" s="206"/>
      <c r="Y91" s="1"/>
    </row>
    <row r="92" customFormat="false" ht="15.75" hidden="false" customHeight="true" outlineLevel="0" collapsed="false">
      <c r="B92" s="198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8"/>
      <c r="V92" s="198"/>
      <c r="W92" s="198"/>
      <c r="X92" s="1"/>
      <c r="Y92" s="1"/>
    </row>
    <row r="93" customFormat="false" ht="15.75" hidden="false" customHeight="true" outlineLevel="0" collapsed="false">
      <c r="B93" s="200" t="s">
        <v>178</v>
      </c>
      <c r="C93" s="207" t="s">
        <v>148</v>
      </c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8"/>
      <c r="V93" s="201" t="s">
        <v>15</v>
      </c>
      <c r="W93" s="201"/>
      <c r="X93" s="201"/>
      <c r="Y93" s="1"/>
    </row>
    <row r="94" customFormat="false" ht="15" hidden="false" customHeight="true" outlineLevel="0" collapsed="false">
      <c r="B94" s="204" t="n">
        <f aca="false">+B91+1</f>
        <v>67</v>
      </c>
      <c r="C94" s="179" t="s">
        <v>179</v>
      </c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54" t="s">
        <v>29</v>
      </c>
      <c r="V94" s="209" t="n">
        <f aca="false">ABS(V85+V89+V90+V91)</f>
        <v>0</v>
      </c>
      <c r="W94" s="209"/>
      <c r="X94" s="209"/>
      <c r="Y94" s="1"/>
    </row>
    <row r="95" customFormat="false" ht="15" hidden="false" customHeight="true" outlineLevel="0" collapsed="false">
      <c r="B95" s="210" t="str">
        <f aca="false">IF(OR((V79)&lt;((V70*18%)*75%),(V80)&lt;((V71*16%)*75%)),"La Retención de Comprobantes de Compras (Casillas 57 y 58) no puede ser menor al 75% del 18% o 16% de Bienes sujetos a Retención de Comprobantes de Compras (Casilla 47 y 48).","")</f>
        <v/>
      </c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1"/>
      <c r="Y95" s="1"/>
    </row>
    <row r="96" customFormat="false" ht="15" hidden="false" customHeight="true" outlineLevel="0" collapsed="false">
      <c r="B96" s="211" t="n">
        <f aca="false">+B94+1</f>
        <v>68</v>
      </c>
      <c r="C96" s="212" t="s">
        <v>180</v>
      </c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3" t="s">
        <v>29</v>
      </c>
      <c r="V96" s="214" t="n">
        <f aca="false">V59+V94</f>
        <v>0</v>
      </c>
      <c r="W96" s="214"/>
      <c r="X96" s="214"/>
      <c r="Y96" s="1"/>
    </row>
    <row r="97" customFormat="false" ht="6" hidden="false" customHeight="true" outlineLevel="0" collapsed="false">
      <c r="B97" s="211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3"/>
      <c r="V97" s="214"/>
      <c r="W97" s="214"/>
      <c r="X97" s="214"/>
      <c r="Y97" s="1"/>
    </row>
    <row r="98" customFormat="false" ht="12" hidden="false" customHeight="true" outlineLevel="0" collapsed="false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4.25" hidden="false" customHeight="true" outlineLevel="0" collapsed="false">
      <c r="B99" s="215"/>
      <c r="C99" s="9" t="s">
        <v>181</v>
      </c>
      <c r="D99" s="9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1"/>
    </row>
    <row r="100" customFormat="false" ht="12.75" hidden="false" customHeight="true" outlineLevel="0" collapsed="false">
      <c r="B100" s="2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8"/>
      <c r="Y100" s="1"/>
    </row>
    <row r="101" customFormat="false" ht="12.75" hidden="false" customHeight="true" outlineLevel="0" collapsed="false">
      <c r="B101" s="219" t="s">
        <v>182</v>
      </c>
      <c r="C101" s="220"/>
      <c r="D101" s="220"/>
      <c r="E101" s="220"/>
      <c r="F101" s="220"/>
      <c r="G101" s="220"/>
      <c r="H101" s="220"/>
      <c r="I101" s="220"/>
      <c r="J101" s="220"/>
      <c r="K101" s="220"/>
      <c r="L101" s="221" t="s">
        <v>183</v>
      </c>
      <c r="M101" s="221"/>
      <c r="N101" s="222"/>
      <c r="O101" s="223" t="s">
        <v>184</v>
      </c>
      <c r="P101" s="223"/>
      <c r="Q101" s="223"/>
      <c r="R101" s="223"/>
      <c r="S101" s="223"/>
      <c r="T101" s="223"/>
      <c r="U101" s="223"/>
      <c r="V101" s="223"/>
      <c r="W101" s="223"/>
      <c r="X101" s="224"/>
      <c r="Y101" s="1"/>
    </row>
    <row r="102" customFormat="false" ht="18.75" hidden="false" customHeight="true" outlineLevel="0" collapsed="false">
      <c r="B102" s="225" t="s">
        <v>185</v>
      </c>
      <c r="C102" s="223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7"/>
      <c r="O102" s="227"/>
      <c r="P102" s="227"/>
      <c r="Q102" s="227"/>
      <c r="R102" s="227"/>
      <c r="S102" s="227"/>
      <c r="T102" s="223"/>
      <c r="U102" s="223"/>
      <c r="V102" s="223"/>
      <c r="W102" s="223"/>
      <c r="X102" s="224"/>
      <c r="Y102" s="1"/>
    </row>
    <row r="103" customFormat="false" ht="14.25" hidden="false" customHeight="true" outlineLevel="0" collapsed="false">
      <c r="B103" s="216"/>
      <c r="C103" s="228"/>
      <c r="D103" s="228"/>
      <c r="E103" s="228"/>
      <c r="F103" s="17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17"/>
      <c r="R103" s="17"/>
      <c r="S103" s="17"/>
      <c r="T103" s="17"/>
      <c r="U103" s="17"/>
      <c r="V103" s="17"/>
      <c r="W103" s="17"/>
      <c r="X103" s="18"/>
      <c r="Y103" s="1"/>
    </row>
    <row r="104" customFormat="false" ht="14.25" hidden="false" customHeight="true" outlineLevel="0" collapsed="false">
      <c r="B104" s="230"/>
      <c r="C104" s="231" t="s">
        <v>186</v>
      </c>
      <c r="D104" s="231"/>
      <c r="E104" s="231"/>
      <c r="F104" s="232"/>
      <c r="G104" s="231" t="s">
        <v>187</v>
      </c>
      <c r="H104" s="231"/>
      <c r="I104" s="231"/>
      <c r="J104" s="231"/>
      <c r="K104" s="231"/>
      <c r="L104" s="231"/>
      <c r="M104" s="231"/>
      <c r="N104" s="231"/>
      <c r="O104" s="231"/>
      <c r="P104" s="231"/>
      <c r="Q104" s="232"/>
      <c r="R104" s="232"/>
      <c r="S104" s="232"/>
      <c r="T104" s="232"/>
      <c r="U104" s="232"/>
      <c r="V104" s="232"/>
      <c r="W104" s="232"/>
      <c r="X104" s="43"/>
      <c r="Y104" s="1"/>
    </row>
    <row r="105" customFormat="false" ht="12" hidden="false" customHeight="true" outlineLevel="0" collapsed="false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9" hidden="false" customHeight="true" outlineLevel="0" collapsed="false">
      <c r="B106" s="215"/>
      <c r="C106" s="9" t="s">
        <v>188</v>
      </c>
      <c r="D106" s="9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1"/>
    </row>
    <row r="107" customFormat="false" ht="23.25" hidden="false" customHeight="true" outlineLevel="0" collapsed="false">
      <c r="B107" s="2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/>
      <c r="Y107" s="1"/>
    </row>
    <row r="108" customFormat="false" ht="12.75" hidden="false" customHeight="true" outlineLevel="0" collapsed="false">
      <c r="B108" s="216"/>
      <c r="C108" s="233" t="s">
        <v>189</v>
      </c>
      <c r="D108" s="233"/>
      <c r="E108" s="233"/>
      <c r="F108" s="234"/>
      <c r="G108" s="234"/>
      <c r="H108" s="235" t="s">
        <v>190</v>
      </c>
      <c r="I108" s="235"/>
      <c r="J108" s="235"/>
      <c r="K108" s="234"/>
      <c r="L108" s="234"/>
      <c r="M108" s="234"/>
      <c r="N108" s="234"/>
      <c r="O108" s="17"/>
      <c r="P108" s="236" t="s">
        <v>191</v>
      </c>
      <c r="Q108" s="17"/>
      <c r="R108" s="234"/>
      <c r="S108" s="234"/>
      <c r="T108" s="234"/>
      <c r="U108" s="237"/>
      <c r="V108" s="237"/>
      <c r="W108" s="237"/>
      <c r="X108" s="18"/>
      <c r="Y108" s="1"/>
    </row>
    <row r="109" customFormat="false" ht="11.25" hidden="false" customHeight="true" outlineLevel="0" collapsed="false">
      <c r="B109" s="2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/>
      <c r="Y109" s="1"/>
    </row>
    <row r="110" customFormat="false" ht="9.75" hidden="false" customHeight="true" outlineLevel="0" collapsed="false">
      <c r="B110" s="2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238"/>
      <c r="S110" s="238"/>
      <c r="T110" s="238"/>
      <c r="U110" s="238"/>
      <c r="V110" s="238"/>
      <c r="W110" s="238"/>
      <c r="X110" s="239"/>
      <c r="Y110" s="1"/>
    </row>
    <row r="111" customFormat="false" ht="9.75" hidden="false" customHeight="true" outlineLevel="0" collapsed="false">
      <c r="B111" s="230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40" t="s">
        <v>192</v>
      </c>
      <c r="S111" s="240"/>
      <c r="T111" s="240"/>
      <c r="U111" s="240"/>
      <c r="V111" s="240"/>
      <c r="W111" s="240"/>
      <c r="X111" s="240"/>
      <c r="Y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customFormat="false" ht="9.75" hidden="false" customHeight="true" outlineLevel="0" collapsed="false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customFormat="false" ht="9.75" hidden="true" customHeight="true" outlineLevel="0" collapsed="false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customFormat="false" ht="9.75" hidden="true" customHeight="true" outlineLevel="0" collapsed="false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customFormat="false" ht="9.75" hidden="true" customHeight="true" outlineLevel="0" collapsed="false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customFormat="false" ht="9.75" hidden="true" customHeight="true" outlineLevel="0" collapsed="false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customFormat="false" ht="9.75" hidden="true" customHeight="true" outlineLevel="0" collapsed="false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9.75" hidden="true" customHeight="true" outlineLevel="0" collapsed="false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customFormat="false" ht="9.75" hidden="true" customHeight="true" outlineLevel="0" collapsed="false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customFormat="false" ht="9.75" hidden="true" customHeight="true" outlineLevel="0" collapsed="false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customFormat="false" ht="9.75" hidden="true" customHeight="true" outlineLevel="0" collapsed="false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customFormat="false" ht="9.75" hidden="true" customHeight="true" outlineLevel="0" collapsed="false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customFormat="false" ht="9.75" hidden="true" customHeight="true" outlineLevel="0" collapsed="false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customFormat="false" ht="9.75" hidden="true" customHeight="true" outlineLevel="0" collapsed="false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customFormat="false" ht="9.75" hidden="true" customHeight="true" outlineLevel="0" collapsed="false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customFormat="false" ht="9.75" hidden="true" customHeight="true" outlineLevel="0" collapsed="false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9.75" hidden="true" customHeight="true" outlineLevel="0" collapsed="false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9.75" hidden="true" customHeight="true" outlineLevel="0" collapsed="false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</sheetData>
  <sheetProtection sheet="true" password="c847" selectLockedCells="true"/>
  <mergeCells count="174">
    <mergeCell ref="V4:X4"/>
    <mergeCell ref="C6:E6"/>
    <mergeCell ref="D7:G7"/>
    <mergeCell ref="I7:N7"/>
    <mergeCell ref="P7:V7"/>
    <mergeCell ref="D9:F9"/>
    <mergeCell ref="M9:N9"/>
    <mergeCell ref="D10:K10"/>
    <mergeCell ref="M10:N10"/>
    <mergeCell ref="P10:Q10"/>
    <mergeCell ref="S10:T10"/>
    <mergeCell ref="V10:W10"/>
    <mergeCell ref="V13:X13"/>
    <mergeCell ref="C14:T14"/>
    <mergeCell ref="V14:X14"/>
    <mergeCell ref="V15:X15"/>
    <mergeCell ref="C16:T16"/>
    <mergeCell ref="V16:X16"/>
    <mergeCell ref="C17:T17"/>
    <mergeCell ref="V17:X17"/>
    <mergeCell ref="C18:T18"/>
    <mergeCell ref="V18:X18"/>
    <mergeCell ref="C19:T19"/>
    <mergeCell ref="V19:X19"/>
    <mergeCell ref="C20:T20"/>
    <mergeCell ref="V20:X20"/>
    <mergeCell ref="C21:T21"/>
    <mergeCell ref="V21:X21"/>
    <mergeCell ref="C22:T22"/>
    <mergeCell ref="V22:X22"/>
    <mergeCell ref="C23:T23"/>
    <mergeCell ref="V23:X23"/>
    <mergeCell ref="V24:X24"/>
    <mergeCell ref="C25:T25"/>
    <mergeCell ref="V25:X25"/>
    <mergeCell ref="C26:T26"/>
    <mergeCell ref="V26:X26"/>
    <mergeCell ref="C27:T27"/>
    <mergeCell ref="V27:X27"/>
    <mergeCell ref="C28:T28"/>
    <mergeCell ref="V28:X28"/>
    <mergeCell ref="C29:T29"/>
    <mergeCell ref="V29:X29"/>
    <mergeCell ref="C30:T30"/>
    <mergeCell ref="V30:X30"/>
    <mergeCell ref="B31:U31"/>
    <mergeCell ref="V32:X32"/>
    <mergeCell ref="C33:T33"/>
    <mergeCell ref="V33:X33"/>
    <mergeCell ref="C34:T34"/>
    <mergeCell ref="V34:X34"/>
    <mergeCell ref="C35:T35"/>
    <mergeCell ref="V35:X35"/>
    <mergeCell ref="C36:T36"/>
    <mergeCell ref="V36:X36"/>
    <mergeCell ref="C37:T37"/>
    <mergeCell ref="V37:X37"/>
    <mergeCell ref="C38:T38"/>
    <mergeCell ref="V38:X38"/>
    <mergeCell ref="C39:T39"/>
    <mergeCell ref="V39:X39"/>
    <mergeCell ref="C40:T40"/>
    <mergeCell ref="V40:X40"/>
    <mergeCell ref="C41:T41"/>
    <mergeCell ref="V41:X41"/>
    <mergeCell ref="C42:T42"/>
    <mergeCell ref="V42:X42"/>
    <mergeCell ref="C43:T43"/>
    <mergeCell ref="V43:X43"/>
    <mergeCell ref="C44:T44"/>
    <mergeCell ref="V44:X44"/>
    <mergeCell ref="C45:T45"/>
    <mergeCell ref="V45:X45"/>
    <mergeCell ref="C46:T46"/>
    <mergeCell ref="V46:X46"/>
    <mergeCell ref="C47:T47"/>
    <mergeCell ref="V47:X47"/>
    <mergeCell ref="C48:T48"/>
    <mergeCell ref="V48:X48"/>
    <mergeCell ref="C49:T49"/>
    <mergeCell ref="V49:X49"/>
    <mergeCell ref="C50:T50"/>
    <mergeCell ref="V50:X50"/>
    <mergeCell ref="C51:T51"/>
    <mergeCell ref="V51:X51"/>
    <mergeCell ref="V53:X53"/>
    <mergeCell ref="C54:S54"/>
    <mergeCell ref="V54:X54"/>
    <mergeCell ref="C55:S55"/>
    <mergeCell ref="V55:X55"/>
    <mergeCell ref="C56:T56"/>
    <mergeCell ref="V56:X56"/>
    <mergeCell ref="V58:X58"/>
    <mergeCell ref="C59:T59"/>
    <mergeCell ref="V59:X59"/>
    <mergeCell ref="V61:X61"/>
    <mergeCell ref="C62:T62"/>
    <mergeCell ref="V62:X62"/>
    <mergeCell ref="C63:T63"/>
    <mergeCell ref="V63:X63"/>
    <mergeCell ref="C64:T64"/>
    <mergeCell ref="V64:X64"/>
    <mergeCell ref="C65:T65"/>
    <mergeCell ref="V65:X65"/>
    <mergeCell ref="C66:T66"/>
    <mergeCell ref="V66:X66"/>
    <mergeCell ref="C67:T67"/>
    <mergeCell ref="V67:X67"/>
    <mergeCell ref="C68:T68"/>
    <mergeCell ref="V68:X68"/>
    <mergeCell ref="C69:T69"/>
    <mergeCell ref="V69:X69"/>
    <mergeCell ref="C70:T70"/>
    <mergeCell ref="V70:X70"/>
    <mergeCell ref="C71:T71"/>
    <mergeCell ref="V71:X71"/>
    <mergeCell ref="C72:T72"/>
    <mergeCell ref="V72:X72"/>
    <mergeCell ref="C73:T73"/>
    <mergeCell ref="V73:X73"/>
    <mergeCell ref="C74:T74"/>
    <mergeCell ref="V74:X74"/>
    <mergeCell ref="C75:T75"/>
    <mergeCell ref="V75:X75"/>
    <mergeCell ref="C76:T76"/>
    <mergeCell ref="V76:X76"/>
    <mergeCell ref="C77:T77"/>
    <mergeCell ref="V77:X77"/>
    <mergeCell ref="C78:T78"/>
    <mergeCell ref="V78:X78"/>
    <mergeCell ref="C79:T79"/>
    <mergeCell ref="V79:X79"/>
    <mergeCell ref="C80:T80"/>
    <mergeCell ref="V80:X80"/>
    <mergeCell ref="C81:T81"/>
    <mergeCell ref="V81:X81"/>
    <mergeCell ref="C82:T82"/>
    <mergeCell ref="V82:X82"/>
    <mergeCell ref="C83:T83"/>
    <mergeCell ref="V83:X83"/>
    <mergeCell ref="C84:T84"/>
    <mergeCell ref="V84:X84"/>
    <mergeCell ref="C85:T85"/>
    <mergeCell ref="V85:X85"/>
    <mergeCell ref="C86:T86"/>
    <mergeCell ref="V86:X86"/>
    <mergeCell ref="V88:X88"/>
    <mergeCell ref="C89:S89"/>
    <mergeCell ref="V89:X89"/>
    <mergeCell ref="C90:S90"/>
    <mergeCell ref="V90:X90"/>
    <mergeCell ref="C91:T91"/>
    <mergeCell ref="V91:X91"/>
    <mergeCell ref="C93:T93"/>
    <mergeCell ref="V93:X93"/>
    <mergeCell ref="C94:T94"/>
    <mergeCell ref="V94:X94"/>
    <mergeCell ref="B95:W95"/>
    <mergeCell ref="B96:B97"/>
    <mergeCell ref="C96:T97"/>
    <mergeCell ref="U96:U97"/>
    <mergeCell ref="V96:X97"/>
    <mergeCell ref="C101:K101"/>
    <mergeCell ref="L101:M101"/>
    <mergeCell ref="C103:E103"/>
    <mergeCell ref="G103:P103"/>
    <mergeCell ref="C104:E104"/>
    <mergeCell ref="G104:P104"/>
    <mergeCell ref="C108:E108"/>
    <mergeCell ref="F108:G108"/>
    <mergeCell ref="H108:J108"/>
    <mergeCell ref="K108:N108"/>
    <mergeCell ref="R108:T108"/>
    <mergeCell ref="R111:X111"/>
  </mergeCells>
  <conditionalFormatting sqref="B31">
    <cfRule type="expression" priority="2" aboveAverage="0" equalAverage="0" bottom="0" percent="0" rank="0" text="" dxfId="0">
      <formula>NOT(ISERROR(SEARCH("La sumatoria de las casillas 11+12+13+14+15 debe ser igual al valor de la casilla 10.",B31)))</formula>
    </cfRule>
  </conditionalFormatting>
  <dataValidations count="7">
    <dataValidation allowBlank="true" errorStyle="stop" operator="greaterThanOrEqual" showDropDown="false" showErrorMessage="true" showInputMessage="false" sqref="V14:X14 V16:X16 V17:W19 X18:X19 V26:X30 V39:X40 V45:X46 V48:X49 V56:X56 V62:X63 V65:X68 V70:X71 V82:X82 V84:X84 V91:X91" type="decimal">
      <formula1>0</formula1>
      <formula2>0</formula2>
    </dataValidation>
    <dataValidation allowBlank="true" errorStyle="stop" operator="notEqual" showDropDown="false" showErrorMessage="true" showInputMessage="false" sqref="V25:W25" type="none">
      <formula1>0</formula1>
      <formula2>0</formula2>
    </dataValidation>
    <dataValidation allowBlank="true" errorStyle="stop" operator="between" showDropDown="false" showErrorMessage="true" showInputMessage="false" sqref="V10" type="list">
      <formula1>"NORMAL,RECTIFICATIVA,D,C,AJUSTES/ESTIMACIÓN,RECURSO RECONSIDERACIÓN,RECURSO CONTENCIOSO,MULTAS,PAGO A CUENTA"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X21" type="custom">
      <formula1>AA5=2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V20:W20" type="custom">
      <formula1>Z5=2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X20" type="custom">
      <formula1>AA5=2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V21:W22" type="custom">
      <formula1>Z5=2</formula1>
      <formula2>0</formula2>
    </dataValidation>
  </dataValidations>
  <printOptions headings="false" gridLines="false" gridLinesSet="true" horizontalCentered="true" verticalCentered="true"/>
  <pageMargins left="0.370138888888889" right="0" top="0.170138888888889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2004-10-12T10:47:45Z</dcterms:created>
  <dc:creator>Unidad de Apoyo al Usuario</dc:creator>
  <dc:description/>
  <dc:language>es-US</dc:language>
  <cp:lastModifiedBy>Keives E Nunez M</cp:lastModifiedBy>
  <cp:lastPrinted>2019-05-01T12:30:41Z</cp:lastPrinted>
  <dcterms:modified xsi:type="dcterms:W3CDTF">2020-01-31T16:15:55Z</dcterms:modified>
  <cp:revision>0</cp:revision>
  <dc:subject/>
  <dc:title/>
</cp:coreProperties>
</file>